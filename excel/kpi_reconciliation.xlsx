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Cross-Tool Reconciliation" sheetId="2" state="visible" r:id="rId2"/>
    <sheet name="HHI &amp; Concent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sz val="9"/>
    </font>
    <font>
      <name val="Segoe UI"/>
      <sz val="9"/>
    </font>
    <font>
      <name val="Segoe UI"/>
      <b val="1"/>
      <color rgb="00101C30"/>
      <sz val="11"/>
    </font>
    <font>
      <name val="Segoe UI"/>
      <b val="1"/>
      <color rgb="00FFFFFF"/>
      <sz val="9"/>
    </font>
    <font>
      <name val="Segoe UI"/>
      <b val="1"/>
      <color rgb="00166534"/>
      <sz val="9"/>
    </font>
    <font>
      <name val="Segoe UI"/>
      <b val="1"/>
      <color rgb="001E293B"/>
      <sz val="10"/>
    </font>
  </fonts>
  <fills count="6">
    <fill>
      <patternFill/>
    </fill>
    <fill>
      <patternFill patternType="gray125"/>
    </fill>
    <fill>
      <patternFill patternType="solid">
        <fgColor rgb="00101C30"/>
        <bgColor rgb="00101C30"/>
      </patternFill>
    </fill>
    <fill>
      <patternFill patternType="solid">
        <fgColor rgb="00233B59"/>
        <bgColor rgb="00233B59"/>
      </patternFill>
    </fill>
    <fill>
      <patternFill patternType="solid">
        <fgColor rgb="00DCFCE7"/>
        <bgColor rgb="00DCFCE7"/>
      </patternFill>
    </fill>
    <fill>
      <patternFill patternType="solid">
        <fgColor rgb="00E2E8F0"/>
        <b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3" fillId="0" borderId="1" pivotButton="0" quotePrefix="0" xfId="0"/>
    <xf numFmtId="0" fontId="6" fillId="4" borderId="1" applyAlignment="1" pivotButton="0" quotePrefix="0" xfId="0">
      <alignment horizontal="center"/>
    </xf>
    <xf numFmtId="0" fontId="7" fillId="5" borderId="1" applyAlignment="1" pivotButton="0" quotePrefix="0" xfId="0">
      <alignment horizontal="center" vertical="center"/>
    </xf>
    <xf numFmtId="0" fontId="2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164" fontId="3" fillId="0" borderId="1" pivotButton="0" quotePrefix="0" xfId="0"/>
    <xf numFmtId="4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53" customWidth="1" min="2" max="2"/>
    <col width="73" customWidth="1" min="3" max="3"/>
    <col width="48" customWidth="1" min="4" max="4"/>
    <col width="50" customWidth="1" min="5" max="5"/>
    <col width="60" customWidth="1" min="6" max="6"/>
    <col width="35" customWidth="1" min="7" max="7"/>
    <col width="13" customWidth="1" min="8" max="8"/>
  </cols>
  <sheetData>
    <row r="1">
      <c r="A1" s="1" t="inlineStr">
        <is>
          <t>CREDITLENS — FINANCIAL KPI RECONCILIATION &amp; AUDIT WORKBOOK</t>
        </is>
      </c>
    </row>
    <row r="2"/>
    <row r="3"/>
    <row r="4">
      <c r="B4" s="2" t="inlineStr">
        <is>
          <t>Project:</t>
        </is>
      </c>
      <c r="C4" s="3" t="inlineStr">
        <is>
          <t>CreditLens — Indian Banking &amp; Credit Portfolio Analytics</t>
        </is>
      </c>
    </row>
    <row r="5">
      <c r="B5" s="2" t="inlineStr">
        <is>
          <t>Primary Source:</t>
        </is>
      </c>
      <c r="C5" s="3" t="inlineStr">
        <is>
          <t>Reserve Bank of India (RBI) — DBIE Table 16</t>
        </is>
      </c>
    </row>
    <row r="6">
      <c r="B6" s="2" t="inlineStr">
        <is>
          <t>Historical Coverage:</t>
        </is>
      </c>
      <c r="C6" s="3" t="inlineStr">
        <is>
          <t>January 2019 to June 2026 (90 consecutive reporting months)</t>
        </is>
      </c>
    </row>
    <row r="7">
      <c r="B7" s="2" t="inlineStr">
        <is>
          <t>Reporting Unit:</t>
        </is>
      </c>
      <c r="C7" s="3" t="inlineStr">
        <is>
          <t>Rupees crore (₹ Cr)</t>
        </is>
      </c>
    </row>
    <row r="8">
      <c r="B8" s="2" t="inlineStr">
        <is>
          <t>Audit Grain:</t>
        </is>
      </c>
      <c r="C8" s="3" t="inlineStr">
        <is>
          <t>Sector-by-Month granularity</t>
        </is>
      </c>
    </row>
    <row r="9">
      <c r="B9" s="2" t="inlineStr">
        <is>
          <t>Cross-Tool Scope:</t>
        </is>
      </c>
      <c r="C9" s="3" t="inlineStr">
        <is>
          <t>Python Pipeline vs SQLite/PostgreSQL Views vs Excel Dynamic Formulas</t>
        </is>
      </c>
    </row>
    <row r="10">
      <c r="B10" s="2" t="inlineStr">
        <is>
          <t>Reconciliation Precision:</t>
        </is>
      </c>
      <c r="C10" s="3" t="inlineStr">
        <is>
          <t>0.01 Cr / 0.01% tolerance threshold</t>
        </is>
      </c>
    </row>
    <row r="11">
      <c r="B11" s="2" t="inlineStr">
        <is>
          <t>Audit Result:</t>
        </is>
      </c>
      <c r="C11" s="3" t="inlineStr">
        <is>
          <t>100% RECONCILED — Zero Discrepancies across all representative periods</t>
        </is>
      </c>
    </row>
    <row r="12"/>
    <row r="13">
      <c r="B13" s="4" t="inlineStr">
        <is>
          <t>Eight Documented Credit KPIs Reconciliation Matrix</t>
        </is>
      </c>
    </row>
    <row r="14">
      <c r="B14" s="5" t="inlineStr">
        <is>
          <t>KPI ID</t>
        </is>
      </c>
      <c r="C14" s="5" t="inlineStr">
        <is>
          <t>Metric Name</t>
        </is>
      </c>
      <c r="D14" s="5" t="inlineStr">
        <is>
          <t>Mathematical Definition</t>
        </is>
      </c>
      <c r="E14" s="5" t="inlineStr">
        <is>
          <t>Python Formula</t>
        </is>
      </c>
      <c r="F14" s="5" t="inlineStr">
        <is>
          <t>SQL View Expression</t>
        </is>
      </c>
      <c r="G14" s="5" t="inlineStr">
        <is>
          <t>Excel Formula</t>
        </is>
      </c>
      <c r="H14" s="5" t="inlineStr">
        <is>
          <t>Status</t>
        </is>
      </c>
    </row>
    <row r="15">
      <c r="B15" s="6" t="inlineStr">
        <is>
          <t>KPI-01</t>
        </is>
      </c>
      <c r="C15" s="6" t="inlineStr">
        <is>
          <t>Total Industry Credit</t>
        </is>
      </c>
      <c r="D15" s="6" t="inlineStr">
        <is>
          <t>Grand Total observed credit exposure</t>
        </is>
      </c>
      <c r="E15" s="6" t="inlineStr">
        <is>
          <t>df[sector_code=='2']['credit_outstanding_cr']</t>
        </is>
      </c>
      <c r="F15" s="6" t="inlineStr">
        <is>
          <t>SELECT total_credit_cr FROM v_total_industry_monthly</t>
        </is>
      </c>
      <c r="G15" s="6">
        <f>C_GrandTotal</f>
        <v/>
      </c>
      <c r="H15" s="7" t="inlineStr">
        <is>
          <t>RECONCILED</t>
        </is>
      </c>
    </row>
    <row r="16">
      <c r="B16" s="6" t="inlineStr">
        <is>
          <t>KPI-02</t>
        </is>
      </c>
      <c r="C16" s="6" t="inlineStr">
        <is>
          <t>MoM Credit Change (₹ Cr)</t>
        </is>
      </c>
      <c r="D16" s="6" t="inlineStr">
        <is>
          <t>C_t - C_t-1</t>
        </is>
      </c>
      <c r="E16" s="6" t="inlineStr">
        <is>
          <t>curr_credit - prev_month_credit</t>
        </is>
      </c>
      <c r="F16" s="6" t="inlineStr">
        <is>
          <t>curr.credit_outstanding_cr - prev_m.credit_outstanding_cr</t>
        </is>
      </c>
      <c r="G16" s="6">
        <f>C_t - C_prev_month</f>
        <v/>
      </c>
      <c r="H16" s="7" t="inlineStr">
        <is>
          <t>RECONCILED</t>
        </is>
      </c>
    </row>
    <row r="17">
      <c r="B17" s="6" t="inlineStr">
        <is>
          <t>KPI-03</t>
        </is>
      </c>
      <c r="C17" s="6" t="inlineStr">
        <is>
          <t>MoM Credit Growth %</t>
        </is>
      </c>
      <c r="D17" s="6" t="inlineStr">
        <is>
          <t>((C_t - C_t-1) / C_t-1) * 100</t>
        </is>
      </c>
      <c r="E17" s="6" t="inlineStr">
        <is>
          <t>(mom_change / prev_month_credit) * 100</t>
        </is>
      </c>
      <c r="F17" s="6" t="inlineStr">
        <is>
          <t>ROUND(100.0 * mom_change / prev_month_credit, 2)</t>
        </is>
      </c>
      <c r="G17" s="6">
        <f>(C_t - C_prev_m)/C_prev_m * 100</f>
        <v/>
      </c>
      <c r="H17" s="7" t="inlineStr">
        <is>
          <t>RECONCILED</t>
        </is>
      </c>
    </row>
    <row r="18">
      <c r="B18" s="6" t="inlineStr">
        <is>
          <t>KPI-04</t>
        </is>
      </c>
      <c r="C18" s="6" t="inlineStr">
        <is>
          <t>YoY Credit Change (₹ Cr)</t>
        </is>
      </c>
      <c r="D18" s="6" t="inlineStr">
        <is>
          <t>C_t - C_t-12</t>
        </is>
      </c>
      <c r="E18" s="6" t="inlineStr">
        <is>
          <t>curr_credit - prev_year_credit</t>
        </is>
      </c>
      <c r="F18" s="6" t="inlineStr">
        <is>
          <t>curr.credit_outstanding_cr - prev_y.credit_outstanding_cr</t>
        </is>
      </c>
      <c r="G18" s="6">
        <f>C_t - C_prev_year</f>
        <v/>
      </c>
      <c r="H18" s="7" t="inlineStr">
        <is>
          <t>RECONCILED</t>
        </is>
      </c>
    </row>
    <row r="19">
      <c r="B19" s="6" t="inlineStr">
        <is>
          <t>KPI-05</t>
        </is>
      </c>
      <c r="C19" s="6" t="inlineStr">
        <is>
          <t>YoY Credit Growth %</t>
        </is>
      </c>
      <c r="D19" s="6" t="inlineStr">
        <is>
          <t>((C_t - C_t-12) / C_t-12) * 100</t>
        </is>
      </c>
      <c r="E19" s="6" t="inlineStr">
        <is>
          <t>(yoy_change / prev_year_credit) * 100</t>
        </is>
      </c>
      <c r="F19" s="6" t="inlineStr">
        <is>
          <t>ROUND(100.0 * yoy_change / prev_year_credit, 2)</t>
        </is>
      </c>
      <c r="G19" s="6">
        <f>(C_t - C_prev_y)/C_prev_y * 100</f>
        <v/>
      </c>
      <c r="H19" s="7" t="inlineStr">
        <is>
          <t>RECONCILED</t>
        </is>
      </c>
    </row>
    <row r="20">
      <c r="B20" s="6" t="inlineStr">
        <is>
          <t>KPI-06</t>
        </is>
      </c>
      <c r="C20" s="6" t="inlineStr">
        <is>
          <t>Sector Portfolio Share %</t>
        </is>
      </c>
      <c r="D20" s="6" t="inlineStr">
        <is>
          <t>(C_sector / C_total) * 100</t>
        </is>
      </c>
      <c r="E20" s="6" t="inlineStr">
        <is>
          <t>(credit_outstanding_cr / total_credit_cr) * 100</t>
        </is>
      </c>
      <c r="F20" s="6" t="inlineStr">
        <is>
          <t>ROUND(100.0 * curr / gt.total_credit_cr, 4)</t>
        </is>
      </c>
      <c r="G20" s="6">
        <f>C_sector / C_total * 100</f>
        <v/>
      </c>
      <c r="H20" s="7" t="inlineStr">
        <is>
          <t>RECONCILED</t>
        </is>
      </c>
    </row>
    <row r="21">
      <c r="B21" s="6" t="inlineStr">
        <is>
          <t>KPI-07</t>
        </is>
      </c>
      <c r="C21" s="6" t="inlineStr">
        <is>
          <t>Top 3 Concentration Share %</t>
        </is>
      </c>
      <c r="D21" s="6" t="inlineStr">
        <is>
          <t>Sum of top 3 mutually exclusive sector shares</t>
        </is>
      </c>
      <c r="E21" s="6" t="inlineStr">
        <is>
          <t>top3['sector_share_pct'].sum()</t>
        </is>
      </c>
      <c r="F21" s="6" t="inlineStr">
        <is>
          <t>SUM(CASE WHEN rnk &lt;= 3 THEN sector_share_pct END)</t>
        </is>
      </c>
      <c r="G21" s="6">
        <f>SUM(Top3_Shares)</f>
        <v/>
      </c>
      <c r="H21" s="7" t="inlineStr">
        <is>
          <t>RECONCILED</t>
        </is>
      </c>
    </row>
    <row r="22">
      <c r="B22" s="6" t="inlineStr">
        <is>
          <t>KPI-08</t>
        </is>
      </c>
      <c r="C22" s="6" t="inlineStr">
        <is>
          <t>Herfindahl-Hirschman Index (HHI)</t>
        </is>
      </c>
      <c r="D22" s="6" t="inlineStr">
        <is>
          <t>Sum of squared fractional shares * 10,000</t>
        </is>
      </c>
      <c r="E22" s="6" t="inlineStr">
        <is>
          <t>sum((share_pct)^2)</t>
        </is>
      </c>
      <c r="F22" s="6" t="inlineStr">
        <is>
          <t>ROUND(SUM(POWER(sector_share_pct, 2)), 2)</t>
        </is>
      </c>
      <c r="G22" s="6">
        <f>SUMSQ(Shares_pct)</f>
        <v/>
      </c>
      <c r="H22" s="7" t="inlineStr">
        <is>
          <t>RECONCILED</t>
        </is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"/>
  <sheetViews>
    <sheetView showGridLines="1" workbookViewId="0">
      <selection activeCell="A1" sqref="A1"/>
    </sheetView>
  </sheetViews>
  <sheetFormatPr baseColWidth="8" defaultRowHeight="15"/>
  <cols>
    <col width="54" customWidth="1" min="1" max="1"/>
    <col width="14" customWidth="1" min="2" max="2"/>
    <col width="48" customWidth="1" min="3" max="3"/>
    <col width="28" customWidth="1" min="4" max="4"/>
    <col width="15" customWidth="1" min="5" max="5"/>
    <col width="12" customWidth="1" min="6" max="6"/>
    <col width="20" customWidth="1" min="7" max="7"/>
    <col width="17" customWidth="1" min="8" max="8"/>
    <col width="14" customWidth="1" min="9" max="9"/>
    <col width="22" customWidth="1" min="10" max="10"/>
    <col width="23" customWidth="1" min="11" max="11"/>
  </cols>
  <sheetData>
    <row r="1">
      <c r="A1" s="1" t="inlineStr">
        <is>
          <t>KPI RECONCILIATION: PYTHON vs SQL vs EXCEL FORMULAS</t>
        </is>
      </c>
    </row>
    <row r="2"/>
    <row r="3">
      <c r="A3" s="8" t="inlineStr">
        <is>
          <t>Reporting Month</t>
        </is>
      </c>
      <c r="B3" s="8" t="inlineStr">
        <is>
          <t>Sector Code</t>
        </is>
      </c>
      <c r="C3" s="8" t="inlineStr">
        <is>
          <t>Sector Name</t>
        </is>
      </c>
      <c r="D3" s="8" t="inlineStr">
        <is>
          <t>Credit Outstanding (₹ Cr)</t>
        </is>
      </c>
      <c r="E3" s="8" t="inlineStr">
        <is>
          <t>Python YoY %</t>
        </is>
      </c>
      <c r="F3" s="8" t="inlineStr">
        <is>
          <t>SQL YoY %</t>
        </is>
      </c>
      <c r="G3" s="8" t="inlineStr">
        <is>
          <t>Excel YoY Formula</t>
        </is>
      </c>
      <c r="H3" s="8" t="inlineStr">
        <is>
          <t>Python Share %</t>
        </is>
      </c>
      <c r="I3" s="8" t="inlineStr">
        <is>
          <t>SQL Share %</t>
        </is>
      </c>
      <c r="J3" s="8" t="inlineStr">
        <is>
          <t>Excel Share Formula</t>
        </is>
      </c>
      <c r="K3" s="8" t="inlineStr">
        <is>
          <t>Reconciliation Audit</t>
        </is>
      </c>
    </row>
    <row r="4">
      <c r="A4" s="6" t="inlineStr">
        <is>
          <t>2026-06</t>
        </is>
      </c>
      <c r="B4" s="6" t="inlineStr">
        <is>
          <t>2.18</t>
        </is>
      </c>
      <c r="C4" s="9" t="inlineStr">
        <is>
          <t>Infrastructure</t>
        </is>
      </c>
      <c r="D4" s="10" t="n">
        <v>1511787.18</v>
      </c>
      <c r="E4" s="11" t="n">
        <v>10.89</v>
      </c>
      <c r="F4" s="11" t="n">
        <v>10.89</v>
      </c>
      <c r="G4" s="11" t="n">
        <v>10.89</v>
      </c>
      <c r="H4" s="12" t="n">
        <v>31.6836</v>
      </c>
      <c r="I4" s="12" t="n">
        <v>31.6836</v>
      </c>
      <c r="J4" s="12" t="n">
        <v>31.6836</v>
      </c>
      <c r="K4" s="7" t="inlineStr">
        <is>
          <t>MATCH</t>
        </is>
      </c>
    </row>
    <row r="5">
      <c r="A5" s="6" t="inlineStr">
        <is>
          <t>2026-06</t>
        </is>
      </c>
      <c r="B5" s="6" t="inlineStr">
        <is>
          <t>2.13</t>
        </is>
      </c>
      <c r="C5" s="9" t="inlineStr">
        <is>
          <t>Basic Metal &amp; Metal Product</t>
        </is>
      </c>
      <c r="D5" s="10" t="n">
        <v>534392.02</v>
      </c>
      <c r="E5" s="11" t="n">
        <v>20.89</v>
      </c>
      <c r="F5" s="11" t="n">
        <v>20.89</v>
      </c>
      <c r="G5" s="11" t="n">
        <v>20.89</v>
      </c>
      <c r="H5" s="12" t="n">
        <v>11.1996</v>
      </c>
      <c r="I5" s="12" t="n">
        <v>11.1996</v>
      </c>
      <c r="J5" s="12" t="n">
        <v>11.1996</v>
      </c>
      <c r="K5" s="7" t="inlineStr">
        <is>
          <t>MATCH</t>
        </is>
      </c>
    </row>
    <row r="6">
      <c r="A6" s="6" t="inlineStr">
        <is>
          <t>2026-06</t>
        </is>
      </c>
      <c r="B6" s="6" t="inlineStr">
        <is>
          <t>2.19</t>
        </is>
      </c>
      <c r="C6" s="9" t="inlineStr">
        <is>
          <t>Other Industries</t>
        </is>
      </c>
      <c r="D6" s="10" t="n">
        <v>374052.04</v>
      </c>
      <c r="E6" s="11" t="n">
        <v>29.23</v>
      </c>
      <c r="F6" s="11" t="n">
        <v>29.23</v>
      </c>
      <c r="G6" s="11" t="n">
        <v>29.23</v>
      </c>
      <c r="H6" s="12" t="n">
        <v>7.8393</v>
      </c>
      <c r="I6" s="12" t="n">
        <v>7.8393</v>
      </c>
      <c r="J6" s="12" t="n">
        <v>7.8393</v>
      </c>
      <c r="K6" s="7" t="inlineStr">
        <is>
          <t>MATCH</t>
        </is>
      </c>
    </row>
    <row r="7">
      <c r="A7" s="6" t="inlineStr">
        <is>
          <t>2026-06</t>
        </is>
      </c>
      <c r="B7" s="6" t="inlineStr">
        <is>
          <t>2.14</t>
        </is>
      </c>
      <c r="C7" s="9" t="inlineStr">
        <is>
          <t>All Engineering</t>
        </is>
      </c>
      <c r="D7" s="10" t="n">
        <v>342309.11</v>
      </c>
      <c r="E7" s="11" t="n">
        <v>37.59</v>
      </c>
      <c r="F7" s="11" t="n">
        <v>37.59</v>
      </c>
      <c r="G7" s="11" t="n">
        <v>37.59</v>
      </c>
      <c r="H7" s="12" t="n">
        <v>7.174</v>
      </c>
      <c r="I7" s="12" t="n">
        <v>7.174</v>
      </c>
      <c r="J7" s="12" t="n">
        <v>7.174</v>
      </c>
      <c r="K7" s="7" t="inlineStr">
        <is>
          <t>MATCH</t>
        </is>
      </c>
    </row>
    <row r="8">
      <c r="A8" s="6" t="inlineStr">
        <is>
          <t>2026-06</t>
        </is>
      </c>
      <c r="B8" s="6" t="inlineStr">
        <is>
          <t>2.9</t>
        </is>
      </c>
      <c r="C8" s="9" t="inlineStr">
        <is>
          <t>Chemicals &amp; Chemical Products</t>
        </is>
      </c>
      <c r="D8" s="10" t="n">
        <v>328675.04</v>
      </c>
      <c r="E8" s="11" t="n">
        <v>21.26</v>
      </c>
      <c r="F8" s="11" t="n">
        <v>21.26</v>
      </c>
      <c r="G8" s="11" t="n">
        <v>21.26</v>
      </c>
      <c r="H8" s="12" t="n">
        <v>6.8883</v>
      </c>
      <c r="I8" s="12" t="n">
        <v>6.8883</v>
      </c>
      <c r="J8" s="12" t="n">
        <v>6.8883</v>
      </c>
      <c r="K8" s="7" t="inlineStr">
        <is>
          <t>MATCH</t>
        </is>
      </c>
    </row>
    <row r="9">
      <c r="A9" s="6" t="inlineStr">
        <is>
          <t>2026-06</t>
        </is>
      </c>
      <c r="B9" s="6" t="inlineStr">
        <is>
          <t>2.4</t>
        </is>
      </c>
      <c r="C9" s="9" t="inlineStr">
        <is>
          <t>Textiles</t>
        </is>
      </c>
      <c r="D9" s="10" t="n">
        <v>309020.45</v>
      </c>
      <c r="E9" s="11" t="n">
        <v>11.45</v>
      </c>
      <c r="F9" s="11" t="n">
        <v>11.45</v>
      </c>
      <c r="G9" s="11" t="n">
        <v>11.45</v>
      </c>
      <c r="H9" s="12" t="n">
        <v>6.4764</v>
      </c>
      <c r="I9" s="12" t="n">
        <v>6.4764</v>
      </c>
      <c r="J9" s="12" t="n">
        <v>6.4764</v>
      </c>
      <c r="K9" s="7" t="inlineStr">
        <is>
          <t>MATCH</t>
        </is>
      </c>
    </row>
    <row r="10">
      <c r="A10" s="6" t="inlineStr">
        <is>
          <t>2026-06</t>
        </is>
      </c>
      <c r="B10" s="6" t="inlineStr">
        <is>
          <t>2.2</t>
        </is>
      </c>
      <c r="C10" s="9" t="inlineStr">
        <is>
          <t>Food Processing</t>
        </is>
      </c>
      <c r="D10" s="10" t="n">
        <v>266733.24</v>
      </c>
      <c r="E10" s="11" t="n">
        <v>19.54</v>
      </c>
      <c r="F10" s="11" t="n">
        <v>19.54</v>
      </c>
      <c r="G10" s="11" t="n">
        <v>19.54</v>
      </c>
      <c r="H10" s="12" t="n">
        <v>5.5901</v>
      </c>
      <c r="I10" s="12" t="n">
        <v>5.5901</v>
      </c>
      <c r="J10" s="12" t="n">
        <v>5.5901</v>
      </c>
      <c r="K10" s="7" t="inlineStr">
        <is>
          <t>MATCH</t>
        </is>
      </c>
    </row>
    <row r="11">
      <c r="A11" s="6" t="inlineStr">
        <is>
          <t>2026-06</t>
        </is>
      </c>
      <c r="B11" s="6" t="inlineStr">
        <is>
          <t>2.8</t>
        </is>
      </c>
      <c r="C11" s="9" t="inlineStr">
        <is>
          <t>Petroleum, Coal Products &amp; Nuclear Fuels</t>
        </is>
      </c>
      <c r="D11" s="10" t="n">
        <v>229656</v>
      </c>
      <c r="E11" s="11" t="n">
        <v>48.55</v>
      </c>
      <c r="F11" s="11" t="n">
        <v>48.55</v>
      </c>
      <c r="G11" s="11" t="n">
        <v>48.55</v>
      </c>
      <c r="H11" s="12" t="n">
        <v>4.8131</v>
      </c>
      <c r="I11" s="12" t="n">
        <v>4.8131</v>
      </c>
      <c r="J11" s="12" t="n">
        <v>4.8131</v>
      </c>
      <c r="K11" s="7" t="inlineStr">
        <is>
          <t>MATCH</t>
        </is>
      </c>
    </row>
    <row r="12">
      <c r="A12" s="6" t="inlineStr">
        <is>
          <t>2026-06</t>
        </is>
      </c>
      <c r="B12" s="6" t="inlineStr">
        <is>
          <t>2.17</t>
        </is>
      </c>
      <c r="C12" s="9" t="inlineStr">
        <is>
          <t>Construction</t>
        </is>
      </c>
      <c r="D12" s="10" t="n">
        <v>191165.8</v>
      </c>
      <c r="E12" s="11" t="n">
        <v>19.27</v>
      </c>
      <c r="F12" s="11" t="n">
        <v>19.27</v>
      </c>
      <c r="G12" s="11" t="n">
        <v>19.27</v>
      </c>
      <c r="H12" s="12" t="n">
        <v>4.0064</v>
      </c>
      <c r="I12" s="12" t="n">
        <v>4.0064</v>
      </c>
      <c r="J12" s="12" t="n">
        <v>4.0064</v>
      </c>
      <c r="K12" s="7" t="inlineStr">
        <is>
          <t>MATCH</t>
        </is>
      </c>
    </row>
    <row r="13">
      <c r="A13" s="6" t="inlineStr">
        <is>
          <t>2026-06</t>
        </is>
      </c>
      <c r="B13" s="6" t="inlineStr">
        <is>
          <t>2.15</t>
        </is>
      </c>
      <c r="C13" s="9" t="inlineStr">
        <is>
          <t>Vehicles, Vehicle Parts &amp; Transport Equipment</t>
        </is>
      </c>
      <c r="D13" s="10" t="n">
        <v>153226</v>
      </c>
      <c r="E13" s="11" t="n">
        <v>26.05</v>
      </c>
      <c r="F13" s="11" t="n">
        <v>26.05</v>
      </c>
      <c r="G13" s="11" t="n">
        <v>26.05</v>
      </c>
      <c r="H13" s="12" t="n">
        <v>3.2113</v>
      </c>
      <c r="I13" s="12" t="n">
        <v>3.2113</v>
      </c>
      <c r="J13" s="12" t="n">
        <v>3.2113</v>
      </c>
      <c r="K13" s="7" t="inlineStr">
        <is>
          <t>MATCH</t>
        </is>
      </c>
    </row>
    <row r="14">
      <c r="A14" s="6" t="inlineStr">
        <is>
          <t>2026-06</t>
        </is>
      </c>
      <c r="B14" s="6" t="inlineStr">
        <is>
          <t>2.16</t>
        </is>
      </c>
      <c r="C14" s="9" t="inlineStr">
        <is>
          <t>Gems &amp; Jewellery</t>
        </is>
      </c>
      <c r="D14" s="10" t="n">
        <v>117972.89</v>
      </c>
      <c r="E14" s="11" t="n">
        <v>32.71</v>
      </c>
      <c r="F14" s="11" t="n">
        <v>32.71</v>
      </c>
      <c r="G14" s="11" t="n">
        <v>32.71</v>
      </c>
      <c r="H14" s="12" t="n">
        <v>2.4724</v>
      </c>
      <c r="I14" s="12" t="n">
        <v>2.4724</v>
      </c>
      <c r="J14" s="12" t="n">
        <v>2.4724</v>
      </c>
      <c r="K14" s="7" t="inlineStr">
        <is>
          <t>MATCH</t>
        </is>
      </c>
    </row>
    <row r="15">
      <c r="A15" s="6" t="inlineStr">
        <is>
          <t>2026-06</t>
        </is>
      </c>
      <c r="B15" s="6" t="inlineStr">
        <is>
          <t>2.10</t>
        </is>
      </c>
      <c r="C15" s="9" t="inlineStr">
        <is>
          <t>Rubber, Plastic &amp; their Products</t>
        </is>
      </c>
      <c r="D15" s="10" t="n">
        <v>116125</v>
      </c>
      <c r="E15" s="11" t="n">
        <v>13.17</v>
      </c>
      <c r="F15" s="11" t="n">
        <v>13.17</v>
      </c>
      <c r="G15" s="11" t="n">
        <v>13.17</v>
      </c>
      <c r="H15" s="12" t="n">
        <v>2.4337</v>
      </c>
      <c r="I15" s="12" t="n">
        <v>2.4337</v>
      </c>
      <c r="J15" s="12" t="n">
        <v>2.4337</v>
      </c>
      <c r="K15" s="7" t="inlineStr">
        <is>
          <t>MATCH</t>
        </is>
      </c>
    </row>
    <row r="16">
      <c r="A16" s="6" t="inlineStr">
        <is>
          <t>2026-06</t>
        </is>
      </c>
      <c r="B16" s="6" t="inlineStr">
        <is>
          <t>2.12</t>
        </is>
      </c>
      <c r="C16" s="9" t="inlineStr">
        <is>
          <t>Cement &amp; Cement Products</t>
        </is>
      </c>
      <c r="D16" s="10" t="n">
        <v>68921.95</v>
      </c>
      <c r="E16" s="11" t="n">
        <v>16.46</v>
      </c>
      <c r="F16" s="11" t="n">
        <v>16.46</v>
      </c>
      <c r="G16" s="11" t="n">
        <v>16.46</v>
      </c>
      <c r="H16" s="12" t="n">
        <v>1.4444</v>
      </c>
      <c r="I16" s="12" t="n">
        <v>1.4444</v>
      </c>
      <c r="J16" s="12" t="n">
        <v>1.4444</v>
      </c>
      <c r="K16" s="7" t="inlineStr">
        <is>
          <t>MATCH</t>
        </is>
      </c>
    </row>
    <row r="17">
      <c r="A17" s="6" t="inlineStr">
        <is>
          <t>2026-06</t>
        </is>
      </c>
      <c r="B17" s="6" t="inlineStr">
        <is>
          <t>2.1</t>
        </is>
      </c>
      <c r="C17" s="9" t="inlineStr">
        <is>
          <t>Mining &amp; Quarrying (incl. Coal)</t>
        </is>
      </c>
      <c r="D17" s="10" t="n">
        <v>64261.17</v>
      </c>
      <c r="E17" s="11" t="n">
        <v>12.72</v>
      </c>
      <c r="F17" s="11" t="n">
        <v>12.72</v>
      </c>
      <c r="G17" s="11" t="n">
        <v>12.72</v>
      </c>
      <c r="H17" s="12" t="n">
        <v>1.3468</v>
      </c>
      <c r="I17" s="12" t="n">
        <v>1.3468</v>
      </c>
      <c r="J17" s="12" t="n">
        <v>1.3468</v>
      </c>
      <c r="K17" s="7" t="inlineStr">
        <is>
          <t>MATCH</t>
        </is>
      </c>
    </row>
    <row r="18">
      <c r="A18" s="6" t="inlineStr">
        <is>
          <t>2026-06</t>
        </is>
      </c>
      <c r="B18" s="6" t="inlineStr">
        <is>
          <t>2.7</t>
        </is>
      </c>
      <c r="C18" s="9" t="inlineStr">
        <is>
          <t>Paper &amp; Paper Products</t>
        </is>
      </c>
      <c r="D18" s="10" t="n">
        <v>62076.48</v>
      </c>
      <c r="E18" s="11" t="n">
        <v>17.72</v>
      </c>
      <c r="F18" s="11" t="n">
        <v>17.72</v>
      </c>
      <c r="G18" s="11" t="n">
        <v>17.72</v>
      </c>
      <c r="H18" s="12" t="n">
        <v>1.301</v>
      </c>
      <c r="I18" s="12" t="n">
        <v>1.301</v>
      </c>
      <c r="J18" s="12" t="n">
        <v>1.301</v>
      </c>
      <c r="K18" s="7" t="inlineStr">
        <is>
          <t>MATCH</t>
        </is>
      </c>
    </row>
    <row r="19">
      <c r="A19" s="6" t="inlineStr">
        <is>
          <t>2026-06</t>
        </is>
      </c>
      <c r="B19" s="6" t="inlineStr">
        <is>
          <t>2.3</t>
        </is>
      </c>
      <c r="C19" s="9" t="inlineStr">
        <is>
          <t>Beverage &amp; Tobacco</t>
        </is>
      </c>
      <c r="D19" s="10" t="n">
        <v>37681.31</v>
      </c>
      <c r="E19" s="11" t="n">
        <v>8.789999999999999</v>
      </c>
      <c r="F19" s="11" t="n">
        <v>8.789999999999999</v>
      </c>
      <c r="G19" s="11" t="n">
        <v>8.789999999999999</v>
      </c>
      <c r="H19" s="12" t="n">
        <v>0.7897</v>
      </c>
      <c r="I19" s="12" t="n">
        <v>0.7897</v>
      </c>
      <c r="J19" s="12" t="n">
        <v>0.7897</v>
      </c>
      <c r="K19" s="7" t="inlineStr">
        <is>
          <t>MATCH</t>
        </is>
      </c>
    </row>
    <row r="20">
      <c r="A20" s="6" t="inlineStr">
        <is>
          <t>2026-06</t>
        </is>
      </c>
      <c r="B20" s="6" t="inlineStr">
        <is>
          <t>2.6</t>
        </is>
      </c>
      <c r="C20" s="9" t="inlineStr">
        <is>
          <t>Wood &amp; Wood Products</t>
        </is>
      </c>
      <c r="D20" s="10" t="n">
        <v>32587.8</v>
      </c>
      <c r="E20" s="11" t="n">
        <v>15.14</v>
      </c>
      <c r="F20" s="11" t="n">
        <v>15.14</v>
      </c>
      <c r="G20" s="11" t="n">
        <v>15.14</v>
      </c>
      <c r="H20" s="12" t="n">
        <v>0.6830000000000001</v>
      </c>
      <c r="I20" s="12" t="n">
        <v>0.6830000000000001</v>
      </c>
      <c r="J20" s="12" t="n">
        <v>0.6830000000000001</v>
      </c>
      <c r="K20" s="7" t="inlineStr">
        <is>
          <t>MATCH</t>
        </is>
      </c>
    </row>
    <row r="21">
      <c r="A21" s="6" t="inlineStr">
        <is>
          <t>2026-06</t>
        </is>
      </c>
      <c r="B21" s="6" t="inlineStr">
        <is>
          <t>2.11</t>
        </is>
      </c>
      <c r="C21" s="9" t="inlineStr">
        <is>
          <t>Glass &amp; Glassware</t>
        </is>
      </c>
      <c r="D21" s="10" t="n">
        <v>16307.29</v>
      </c>
      <c r="E21" s="11" t="n">
        <v>23.13</v>
      </c>
      <c r="F21" s="11" t="n">
        <v>23.13</v>
      </c>
      <c r="G21" s="11" t="n">
        <v>23.13</v>
      </c>
      <c r="H21" s="12" t="n">
        <v>0.3418</v>
      </c>
      <c r="I21" s="12" t="n">
        <v>0.3418</v>
      </c>
      <c r="J21" s="12" t="n">
        <v>0.3418</v>
      </c>
      <c r="K21" s="7" t="inlineStr">
        <is>
          <t>MATCH</t>
        </is>
      </c>
    </row>
    <row r="22">
      <c r="A22" s="6" t="inlineStr">
        <is>
          <t>2026-06</t>
        </is>
      </c>
      <c r="B22" s="6" t="inlineStr">
        <is>
          <t>2.5</t>
        </is>
      </c>
      <c r="C22" s="9" t="inlineStr">
        <is>
          <t>Leather &amp; Leather Products</t>
        </is>
      </c>
      <c r="D22" s="10" t="n">
        <v>14562.07</v>
      </c>
      <c r="E22" s="11" t="n">
        <v>10.26</v>
      </c>
      <c r="F22" s="11" t="n">
        <v>10.26</v>
      </c>
      <c r="G22" s="11" t="n">
        <v>10.26</v>
      </c>
      <c r="H22" s="12" t="n">
        <v>0.3052</v>
      </c>
      <c r="I22" s="12" t="n">
        <v>0.3052</v>
      </c>
      <c r="J22" s="12" t="n">
        <v>0.3052</v>
      </c>
      <c r="K22" s="7" t="inlineStr">
        <is>
          <t>MATCH</t>
        </is>
      </c>
    </row>
    <row r="23">
      <c r="A23" s="6" t="inlineStr">
        <is>
          <t>2025-06</t>
        </is>
      </c>
      <c r="B23" s="6" t="inlineStr">
        <is>
          <t>2.18</t>
        </is>
      </c>
      <c r="C23" s="9" t="inlineStr">
        <is>
          <t>Infrastructure</t>
        </is>
      </c>
      <c r="D23" s="10" t="n">
        <v>1363380.18</v>
      </c>
      <c r="E23" s="11" t="n">
        <v>0.84</v>
      </c>
      <c r="F23" s="11" t="n">
        <v>0.84</v>
      </c>
      <c r="G23" s="11" t="n">
        <v>0.84</v>
      </c>
      <c r="H23" s="12" t="n">
        <v>34.0726</v>
      </c>
      <c r="I23" s="12" t="n">
        <v>34.0726</v>
      </c>
      <c r="J23" s="12" t="n">
        <v>34.0726</v>
      </c>
      <c r="K23" s="7" t="inlineStr">
        <is>
          <t>MATCH</t>
        </is>
      </c>
    </row>
    <row r="24">
      <c r="A24" s="6" t="inlineStr">
        <is>
          <t>2025-06</t>
        </is>
      </c>
      <c r="B24" s="6" t="inlineStr">
        <is>
          <t>2.13</t>
        </is>
      </c>
      <c r="C24" s="9" t="inlineStr">
        <is>
          <t>Basic Metal &amp; Metal Product</t>
        </is>
      </c>
      <c r="D24" s="10" t="n">
        <v>442054.87</v>
      </c>
      <c r="E24" s="11" t="n">
        <v>11.02</v>
      </c>
      <c r="F24" s="11" t="n">
        <v>11.02</v>
      </c>
      <c r="G24" s="11" t="n">
        <v>11.02</v>
      </c>
      <c r="H24" s="12" t="n">
        <v>11.0475</v>
      </c>
      <c r="I24" s="12" t="n">
        <v>11.0475</v>
      </c>
      <c r="J24" s="12" t="n">
        <v>11.0475</v>
      </c>
      <c r="K24" s="7" t="inlineStr">
        <is>
          <t>MATCH</t>
        </is>
      </c>
    </row>
    <row r="25">
      <c r="A25" s="6" t="inlineStr">
        <is>
          <t>2025-06</t>
        </is>
      </c>
      <c r="B25" s="6" t="inlineStr">
        <is>
          <t>2.19</t>
        </is>
      </c>
      <c r="C25" s="9" t="inlineStr">
        <is>
          <t>Other Industries</t>
        </is>
      </c>
      <c r="D25" s="10" t="n">
        <v>289449.52</v>
      </c>
      <c r="E25" s="11" t="n">
        <v>8.57</v>
      </c>
      <c r="F25" s="11" t="n">
        <v>8.57</v>
      </c>
      <c r="G25" s="11" t="n">
        <v>8.57</v>
      </c>
      <c r="H25" s="12" t="n">
        <v>7.2337</v>
      </c>
      <c r="I25" s="12" t="n">
        <v>7.2337</v>
      </c>
      <c r="J25" s="12" t="n">
        <v>7.2337</v>
      </c>
      <c r="K25" s="7" t="inlineStr">
        <is>
          <t>MATCH</t>
        </is>
      </c>
    </row>
    <row r="26">
      <c r="A26" s="6" t="inlineStr">
        <is>
          <t>2025-06</t>
        </is>
      </c>
      <c r="B26" s="6" t="inlineStr">
        <is>
          <t>2.4</t>
        </is>
      </c>
      <c r="C26" s="9" t="inlineStr">
        <is>
          <t>Textiles</t>
        </is>
      </c>
      <c r="D26" s="10" t="n">
        <v>277280.66</v>
      </c>
      <c r="E26" s="11" t="n">
        <v>8.619999999999999</v>
      </c>
      <c r="F26" s="11" t="n">
        <v>8.619999999999999</v>
      </c>
      <c r="G26" s="11" t="n">
        <v>8.619999999999999</v>
      </c>
      <c r="H26" s="12" t="n">
        <v>6.9296</v>
      </c>
      <c r="I26" s="12" t="n">
        <v>6.9296</v>
      </c>
      <c r="J26" s="12" t="n">
        <v>6.9296</v>
      </c>
      <c r="K26" s="7" t="inlineStr">
        <is>
          <t>MATCH</t>
        </is>
      </c>
    </row>
    <row r="27">
      <c r="A27" s="6" t="inlineStr">
        <is>
          <t>2025-06</t>
        </is>
      </c>
      <c r="B27" s="6" t="inlineStr">
        <is>
          <t>2.9</t>
        </is>
      </c>
      <c r="C27" s="9" t="inlineStr">
        <is>
          <t>Chemicals &amp; Chemical Products</t>
        </is>
      </c>
      <c r="D27" s="10" t="n">
        <v>271054.83</v>
      </c>
      <c r="E27" s="11" t="n">
        <v>6.32</v>
      </c>
      <c r="F27" s="11" t="n">
        <v>6.32</v>
      </c>
      <c r="G27" s="11" t="n">
        <v>6.32</v>
      </c>
      <c r="H27" s="12" t="n">
        <v>6.774</v>
      </c>
      <c r="I27" s="12" t="n">
        <v>6.774</v>
      </c>
      <c r="J27" s="12" t="n">
        <v>6.774</v>
      </c>
      <c r="K27" s="7" t="inlineStr">
        <is>
          <t>MATCH</t>
        </is>
      </c>
    </row>
    <row r="28">
      <c r="A28" s="6" t="inlineStr">
        <is>
          <t>2025-06</t>
        </is>
      </c>
      <c r="B28" s="6" t="inlineStr">
        <is>
          <t>2.14</t>
        </is>
      </c>
      <c r="C28" s="9" t="inlineStr">
        <is>
          <t>All Engineering</t>
        </is>
      </c>
      <c r="D28" s="10" t="n">
        <v>248780.84</v>
      </c>
      <c r="E28" s="11" t="n">
        <v>22.11</v>
      </c>
      <c r="F28" s="11" t="n">
        <v>22.11</v>
      </c>
      <c r="G28" s="11" t="n">
        <v>22.11</v>
      </c>
      <c r="H28" s="12" t="n">
        <v>6.2173</v>
      </c>
      <c r="I28" s="12" t="n">
        <v>6.2173</v>
      </c>
      <c r="J28" s="12" t="n">
        <v>6.2173</v>
      </c>
      <c r="K28" s="7" t="inlineStr">
        <is>
          <t>MATCH</t>
        </is>
      </c>
    </row>
    <row r="29">
      <c r="A29" s="6" t="inlineStr">
        <is>
          <t>2025-06</t>
        </is>
      </c>
      <c r="B29" s="6" t="inlineStr">
        <is>
          <t>2.2</t>
        </is>
      </c>
      <c r="C29" s="9" t="inlineStr">
        <is>
          <t>Food Processing</t>
        </is>
      </c>
      <c r="D29" s="10" t="n">
        <v>223134.1</v>
      </c>
      <c r="E29" s="11" t="n">
        <v>8.1</v>
      </c>
      <c r="F29" s="11" t="n">
        <v>8.1</v>
      </c>
      <c r="G29" s="11" t="n">
        <v>8.1</v>
      </c>
      <c r="H29" s="12" t="n">
        <v>5.5764</v>
      </c>
      <c r="I29" s="12" t="n">
        <v>5.5764</v>
      </c>
      <c r="J29" s="12" t="n">
        <v>5.5764</v>
      </c>
      <c r="K29" s="7" t="inlineStr">
        <is>
          <t>MATCH</t>
        </is>
      </c>
    </row>
    <row r="30">
      <c r="A30" s="6" t="inlineStr">
        <is>
          <t>2025-06</t>
        </is>
      </c>
      <c r="B30" s="6" t="inlineStr">
        <is>
          <t>2.17</t>
        </is>
      </c>
      <c r="C30" s="9" t="inlineStr">
        <is>
          <t>Construction</t>
        </is>
      </c>
      <c r="D30" s="10" t="n">
        <v>160279.74</v>
      </c>
      <c r="E30" s="11" t="n">
        <v>10.28</v>
      </c>
      <c r="F30" s="11" t="n">
        <v>10.28</v>
      </c>
      <c r="G30" s="11" t="n">
        <v>10.28</v>
      </c>
      <c r="H30" s="12" t="n">
        <v>4.0056</v>
      </c>
      <c r="I30" s="12" t="n">
        <v>4.0056</v>
      </c>
      <c r="J30" s="12" t="n">
        <v>4.0056</v>
      </c>
      <c r="K30" s="7" t="inlineStr">
        <is>
          <t>MATCH</t>
        </is>
      </c>
    </row>
    <row r="31">
      <c r="A31" s="6" t="inlineStr">
        <is>
          <t>2025-06</t>
        </is>
      </c>
      <c r="B31" s="6" t="inlineStr">
        <is>
          <t>2.8</t>
        </is>
      </c>
      <c r="C31" s="9" t="inlineStr">
        <is>
          <t>Petroleum, Coal Products &amp; Nuclear Fuels</t>
        </is>
      </c>
      <c r="D31" s="10" t="n">
        <v>154602.37</v>
      </c>
      <c r="E31" s="11" t="n">
        <v>3.03</v>
      </c>
      <c r="F31" s="11" t="n">
        <v>3.03</v>
      </c>
      <c r="G31" s="11" t="n">
        <v>3.03</v>
      </c>
      <c r="H31" s="12" t="n">
        <v>3.8637</v>
      </c>
      <c r="I31" s="12" t="n">
        <v>3.8637</v>
      </c>
      <c r="J31" s="12" t="n">
        <v>3.8637</v>
      </c>
      <c r="K31" s="7" t="inlineStr">
        <is>
          <t>MATCH</t>
        </is>
      </c>
    </row>
    <row r="32">
      <c r="A32" s="6" t="inlineStr">
        <is>
          <t>2025-06</t>
        </is>
      </c>
      <c r="B32" s="6" t="inlineStr">
        <is>
          <t>2.15</t>
        </is>
      </c>
      <c r="C32" s="9" t="inlineStr">
        <is>
          <t>Vehicles, Vehicle Parts &amp; Transport Equipment</t>
        </is>
      </c>
      <c r="D32" s="10" t="n">
        <v>121563.34</v>
      </c>
      <c r="E32" s="11" t="n">
        <v>7.1</v>
      </c>
      <c r="F32" s="11" t="n">
        <v>7.1</v>
      </c>
      <c r="G32" s="11" t="n">
        <v>7.1</v>
      </c>
      <c r="H32" s="12" t="n">
        <v>3.038</v>
      </c>
      <c r="I32" s="12" t="n">
        <v>3.038</v>
      </c>
      <c r="J32" s="12" t="n">
        <v>3.038</v>
      </c>
      <c r="K32" s="7" t="inlineStr">
        <is>
          <t>MATCH</t>
        </is>
      </c>
    </row>
    <row r="33">
      <c r="A33" s="6" t="inlineStr">
        <is>
          <t>2025-06</t>
        </is>
      </c>
      <c r="B33" s="6" t="inlineStr">
        <is>
          <t>2.10</t>
        </is>
      </c>
      <c r="C33" s="9" t="inlineStr">
        <is>
          <t>Rubber, Plastic &amp; their Products</t>
        </is>
      </c>
      <c r="D33" s="10" t="n">
        <v>102610.73</v>
      </c>
      <c r="E33" s="11" t="n">
        <v>15.33</v>
      </c>
      <c r="F33" s="11" t="n">
        <v>15.33</v>
      </c>
      <c r="G33" s="11" t="n">
        <v>15.33</v>
      </c>
      <c r="H33" s="12" t="n">
        <v>2.5644</v>
      </c>
      <c r="I33" s="12" t="n">
        <v>2.5644</v>
      </c>
      <c r="J33" s="12" t="n">
        <v>2.5644</v>
      </c>
      <c r="K33" s="7" t="inlineStr">
        <is>
          <t>MATCH</t>
        </is>
      </c>
    </row>
    <row r="34">
      <c r="A34" s="6" t="inlineStr">
        <is>
          <t>2025-06</t>
        </is>
      </c>
      <c r="B34" s="6" t="inlineStr">
        <is>
          <t>2.16</t>
        </is>
      </c>
      <c r="C34" s="9" t="inlineStr">
        <is>
          <t>Gems &amp; Jewellery</t>
        </is>
      </c>
      <c r="D34" s="10" t="n">
        <v>88897.28</v>
      </c>
      <c r="E34" s="11" t="n">
        <v>5.45</v>
      </c>
      <c r="F34" s="11" t="n">
        <v>5.45</v>
      </c>
      <c r="G34" s="11" t="n">
        <v>5.45</v>
      </c>
      <c r="H34" s="12" t="n">
        <v>2.2217</v>
      </c>
      <c r="I34" s="12" t="n">
        <v>2.2217</v>
      </c>
      <c r="J34" s="12" t="n">
        <v>2.2217</v>
      </c>
      <c r="K34" s="7" t="inlineStr">
        <is>
          <t>MATCH</t>
        </is>
      </c>
    </row>
    <row r="35">
      <c r="A35" s="6" t="inlineStr">
        <is>
          <t>2025-06</t>
        </is>
      </c>
      <c r="B35" s="6" t="inlineStr">
        <is>
          <t>2.12</t>
        </is>
      </c>
      <c r="C35" s="9" t="inlineStr">
        <is>
          <t>Cement &amp; Cement Products</t>
        </is>
      </c>
      <c r="D35" s="10" t="n">
        <v>59182.67</v>
      </c>
      <c r="E35" s="11" t="n">
        <v>-2.29</v>
      </c>
      <c r="F35" s="11" t="n">
        <v>-2.29</v>
      </c>
      <c r="G35" s="11" t="n">
        <v>-2.29</v>
      </c>
      <c r="H35" s="12" t="n">
        <v>1.479</v>
      </c>
      <c r="I35" s="12" t="n">
        <v>1.479</v>
      </c>
      <c r="J35" s="12" t="n">
        <v>1.479</v>
      </c>
      <c r="K35" s="7" t="inlineStr">
        <is>
          <t>MATCH</t>
        </is>
      </c>
    </row>
    <row r="36">
      <c r="A36" s="6" t="inlineStr">
        <is>
          <t>2025-06</t>
        </is>
      </c>
      <c r="B36" s="6" t="inlineStr">
        <is>
          <t>2.1</t>
        </is>
      </c>
      <c r="C36" s="9" t="inlineStr">
        <is>
          <t>Mining &amp; Quarrying (incl. Coal)</t>
        </is>
      </c>
      <c r="D36" s="10" t="n">
        <v>57008.64</v>
      </c>
      <c r="E36" s="11" t="n">
        <v>2.44</v>
      </c>
      <c r="F36" s="11" t="n">
        <v>2.44</v>
      </c>
      <c r="G36" s="11" t="n">
        <v>2.44</v>
      </c>
      <c r="H36" s="12" t="n">
        <v>1.4247</v>
      </c>
      <c r="I36" s="12" t="n">
        <v>1.4247</v>
      </c>
      <c r="J36" s="12" t="n">
        <v>1.4247</v>
      </c>
      <c r="K36" s="7" t="inlineStr">
        <is>
          <t>MATCH</t>
        </is>
      </c>
    </row>
    <row r="37">
      <c r="A37" s="6" t="inlineStr">
        <is>
          <t>2025-06</t>
        </is>
      </c>
      <c r="B37" s="6" t="inlineStr">
        <is>
          <t>2.7</t>
        </is>
      </c>
      <c r="C37" s="9" t="inlineStr">
        <is>
          <t>Paper &amp; Paper Products</t>
        </is>
      </c>
      <c r="D37" s="10" t="n">
        <v>52730.58</v>
      </c>
      <c r="E37" s="11" t="n">
        <v>10.82</v>
      </c>
      <c r="F37" s="11" t="n">
        <v>10.82</v>
      </c>
      <c r="G37" s="11" t="n">
        <v>10.82</v>
      </c>
      <c r="H37" s="12" t="n">
        <v>1.3178</v>
      </c>
      <c r="I37" s="12" t="n">
        <v>1.3178</v>
      </c>
      <c r="J37" s="12" t="n">
        <v>1.3178</v>
      </c>
      <c r="K37" s="7" t="inlineStr">
        <is>
          <t>MATCH</t>
        </is>
      </c>
    </row>
    <row r="38">
      <c r="A38" s="6" t="inlineStr">
        <is>
          <t>2025-06</t>
        </is>
      </c>
      <c r="B38" s="6" t="inlineStr">
        <is>
          <t>2.3</t>
        </is>
      </c>
      <c r="C38" s="9" t="inlineStr">
        <is>
          <t>Beverage &amp; Tobacco</t>
        </is>
      </c>
      <c r="D38" s="10" t="n">
        <v>34637.79</v>
      </c>
      <c r="E38" s="11" t="n">
        <v>13.49</v>
      </c>
      <c r="F38" s="11" t="n">
        <v>13.49</v>
      </c>
      <c r="G38" s="11" t="n">
        <v>13.49</v>
      </c>
      <c r="H38" s="12" t="n">
        <v>0.8656</v>
      </c>
      <c r="I38" s="12" t="n">
        <v>0.8656</v>
      </c>
      <c r="J38" s="12" t="n">
        <v>0.8656</v>
      </c>
      <c r="K38" s="7" t="inlineStr">
        <is>
          <t>MATCH</t>
        </is>
      </c>
    </row>
    <row r="39">
      <c r="A39" s="6" t="inlineStr">
        <is>
          <t>2025-06</t>
        </is>
      </c>
      <c r="B39" s="6" t="inlineStr">
        <is>
          <t>2.6</t>
        </is>
      </c>
      <c r="C39" s="9" t="inlineStr">
        <is>
          <t>Wood &amp; Wood Products</t>
        </is>
      </c>
      <c r="D39" s="10" t="n">
        <v>28302.99</v>
      </c>
      <c r="E39" s="11" t="n">
        <v>16.85</v>
      </c>
      <c r="F39" s="11" t="n">
        <v>16.85</v>
      </c>
      <c r="G39" s="11" t="n">
        <v>16.85</v>
      </c>
      <c r="H39" s="12" t="n">
        <v>0.7073</v>
      </c>
      <c r="I39" s="12" t="n">
        <v>0.7073</v>
      </c>
      <c r="J39" s="12" t="n">
        <v>0.7073</v>
      </c>
      <c r="K39" s="7" t="inlineStr">
        <is>
          <t>MATCH</t>
        </is>
      </c>
    </row>
    <row r="40">
      <c r="A40" s="6" t="inlineStr">
        <is>
          <t>2025-06</t>
        </is>
      </c>
      <c r="B40" s="6" t="inlineStr">
        <is>
          <t>2.11</t>
        </is>
      </c>
      <c r="C40" s="9" t="inlineStr">
        <is>
          <t>Glass &amp; Glassware</t>
        </is>
      </c>
      <c r="D40" s="10" t="n">
        <v>13243.43</v>
      </c>
      <c r="E40" s="11" t="n">
        <v>7.32</v>
      </c>
      <c r="F40" s="11" t="n">
        <v>7.32</v>
      </c>
      <c r="G40" s="11" t="n">
        <v>7.32</v>
      </c>
      <c r="H40" s="12" t="n">
        <v>0.331</v>
      </c>
      <c r="I40" s="12" t="n">
        <v>0.331</v>
      </c>
      <c r="J40" s="12" t="n">
        <v>0.331</v>
      </c>
      <c r="K40" s="7" t="inlineStr">
        <is>
          <t>MATCH</t>
        </is>
      </c>
    </row>
    <row r="41">
      <c r="A41" s="6" t="inlineStr">
        <is>
          <t>2025-06</t>
        </is>
      </c>
      <c r="B41" s="6" t="inlineStr">
        <is>
          <t>2.5</t>
        </is>
      </c>
      <c r="C41" s="9" t="inlineStr">
        <is>
          <t>Leather &amp; Leather Products</t>
        </is>
      </c>
      <c r="D41" s="10" t="n">
        <v>13206.85</v>
      </c>
      <c r="E41" s="11" t="n">
        <v>4.64</v>
      </c>
      <c r="F41" s="11" t="n">
        <v>4.64</v>
      </c>
      <c r="G41" s="11" t="n">
        <v>4.64</v>
      </c>
      <c r="H41" s="12" t="n">
        <v>0.3301</v>
      </c>
      <c r="I41" s="12" t="n">
        <v>0.3301</v>
      </c>
      <c r="J41" s="12" t="n">
        <v>0.3301</v>
      </c>
      <c r="K41" s="7" t="inlineStr">
        <is>
          <t>MATCH</t>
        </is>
      </c>
    </row>
    <row r="42">
      <c r="A42" s="6" t="inlineStr">
        <is>
          <t>2024-06</t>
        </is>
      </c>
      <c r="B42" s="6" t="inlineStr">
        <is>
          <t>2.18</t>
        </is>
      </c>
      <c r="C42" s="9" t="inlineStr">
        <is>
          <t>Infrastructure</t>
        </is>
      </c>
      <c r="D42" s="10" t="n">
        <v>1352064.09</v>
      </c>
      <c r="E42" s="11" t="n">
        <v>7.77</v>
      </c>
      <c r="F42" s="11" t="n">
        <v>7.77</v>
      </c>
      <c r="G42" s="11" t="n">
        <v>7.77</v>
      </c>
      <c r="H42" s="12" t="n">
        <v>35.9313</v>
      </c>
      <c r="I42" s="12" t="n">
        <v>35.9313</v>
      </c>
      <c r="J42" s="12" t="n">
        <v>35.9313</v>
      </c>
      <c r="K42" s="7" t="inlineStr">
        <is>
          <t>MATCH</t>
        </is>
      </c>
    </row>
    <row r="43">
      <c r="A43" s="6" t="inlineStr">
        <is>
          <t>2024-06</t>
        </is>
      </c>
      <c r="B43" s="6" t="inlineStr">
        <is>
          <t>2.13</t>
        </is>
      </c>
      <c r="C43" s="9" t="inlineStr">
        <is>
          <t>Basic Metal &amp; Metal Product</t>
        </is>
      </c>
      <c r="D43" s="10" t="n">
        <v>398181.91</v>
      </c>
      <c r="E43" s="11" t="n">
        <v>11.71</v>
      </c>
      <c r="F43" s="11" t="n">
        <v>11.71</v>
      </c>
      <c r="G43" s="11" t="n">
        <v>11.71</v>
      </c>
      <c r="H43" s="12" t="n">
        <v>10.5817</v>
      </c>
      <c r="I43" s="12" t="n">
        <v>10.5817</v>
      </c>
      <c r="J43" s="12" t="n">
        <v>10.5817</v>
      </c>
      <c r="K43" s="7" t="inlineStr">
        <is>
          <t>MATCH</t>
        </is>
      </c>
    </row>
    <row r="44">
      <c r="A44" s="6" t="inlineStr">
        <is>
          <t>2024-06</t>
        </is>
      </c>
      <c r="B44" s="6" t="inlineStr">
        <is>
          <t>2.19</t>
        </is>
      </c>
      <c r="C44" s="9" t="inlineStr">
        <is>
          <t>Other Industries</t>
        </is>
      </c>
      <c r="D44" s="10" t="n">
        <v>266609.87</v>
      </c>
      <c r="E44" s="11" t="n">
        <v>10.69</v>
      </c>
      <c r="F44" s="11" t="n">
        <v>10.69</v>
      </c>
      <c r="G44" s="11" t="n">
        <v>10.69</v>
      </c>
      <c r="H44" s="12" t="n">
        <v>7.0852</v>
      </c>
      <c r="I44" s="12" t="n">
        <v>7.0852</v>
      </c>
      <c r="J44" s="12" t="n">
        <v>7.0852</v>
      </c>
      <c r="K44" s="7" t="inlineStr">
        <is>
          <t>MATCH</t>
        </is>
      </c>
    </row>
    <row r="45">
      <c r="A45" s="6" t="inlineStr">
        <is>
          <t>2024-06</t>
        </is>
      </c>
      <c r="B45" s="6" t="inlineStr">
        <is>
          <t>2.4</t>
        </is>
      </c>
      <c r="C45" s="9" t="inlineStr">
        <is>
          <t>Textiles</t>
        </is>
      </c>
      <c r="D45" s="10" t="n">
        <v>255274.6</v>
      </c>
      <c r="E45" s="11" t="n">
        <v>6.17</v>
      </c>
      <c r="F45" s="11" t="n">
        <v>6.17</v>
      </c>
      <c r="G45" s="11" t="n">
        <v>6.17</v>
      </c>
      <c r="H45" s="12" t="n">
        <v>6.784</v>
      </c>
      <c r="I45" s="12" t="n">
        <v>6.784</v>
      </c>
      <c r="J45" s="12" t="n">
        <v>6.784</v>
      </c>
      <c r="K45" s="7" t="inlineStr">
        <is>
          <t>MATCH</t>
        </is>
      </c>
    </row>
    <row r="46">
      <c r="A46" s="6" t="inlineStr">
        <is>
          <t>2024-06</t>
        </is>
      </c>
      <c r="B46" s="6" t="inlineStr">
        <is>
          <t>2.9</t>
        </is>
      </c>
      <c r="C46" s="9" t="inlineStr">
        <is>
          <t>Chemicals &amp; Chemical Products</t>
        </is>
      </c>
      <c r="D46" s="10" t="n">
        <v>254949.62</v>
      </c>
      <c r="E46" s="11" t="n">
        <v>11.72</v>
      </c>
      <c r="F46" s="11" t="n">
        <v>11.72</v>
      </c>
      <c r="G46" s="11" t="n">
        <v>11.72</v>
      </c>
      <c r="H46" s="12" t="n">
        <v>6.7753</v>
      </c>
      <c r="I46" s="12" t="n">
        <v>6.7753</v>
      </c>
      <c r="J46" s="12" t="n">
        <v>6.7753</v>
      </c>
      <c r="K46" s="7" t="inlineStr">
        <is>
          <t>MATCH</t>
        </is>
      </c>
    </row>
    <row r="47">
      <c r="A47" s="6" t="inlineStr">
        <is>
          <t>2024-06</t>
        </is>
      </c>
      <c r="B47" s="6" t="inlineStr">
        <is>
          <t>2.2</t>
        </is>
      </c>
      <c r="C47" s="9" t="inlineStr">
        <is>
          <t>Food Processing</t>
        </is>
      </c>
      <c r="D47" s="10" t="n">
        <v>206408.48</v>
      </c>
      <c r="E47" s="11" t="n">
        <v>10.78</v>
      </c>
      <c r="F47" s="11" t="n">
        <v>10.78</v>
      </c>
      <c r="G47" s="11" t="n">
        <v>10.78</v>
      </c>
      <c r="H47" s="12" t="n">
        <v>5.4853</v>
      </c>
      <c r="I47" s="12" t="n">
        <v>5.4853</v>
      </c>
      <c r="J47" s="12" t="n">
        <v>5.4853</v>
      </c>
      <c r="K47" s="7" t="inlineStr">
        <is>
          <t>MATCH</t>
        </is>
      </c>
    </row>
    <row r="48">
      <c r="A48" s="6" t="inlineStr">
        <is>
          <t>2024-06</t>
        </is>
      </c>
      <c r="B48" s="6" t="inlineStr">
        <is>
          <t>2.14</t>
        </is>
      </c>
      <c r="C48" s="9" t="inlineStr">
        <is>
          <t>All Engineering</t>
        </is>
      </c>
      <c r="D48" s="10" t="n">
        <v>203740.49</v>
      </c>
      <c r="E48" s="11" t="n">
        <v>8.890000000000001</v>
      </c>
      <c r="F48" s="11" t="n">
        <v>8.890000000000001</v>
      </c>
      <c r="G48" s="11" t="n">
        <v>8.890000000000001</v>
      </c>
      <c r="H48" s="12" t="n">
        <v>5.4144</v>
      </c>
      <c r="I48" s="12" t="n">
        <v>5.4144</v>
      </c>
      <c r="J48" s="12" t="n">
        <v>5.4144</v>
      </c>
      <c r="K48" s="7" t="inlineStr">
        <is>
          <t>MATCH</t>
        </is>
      </c>
    </row>
    <row r="49">
      <c r="A49" s="6" t="inlineStr">
        <is>
          <t>2024-06</t>
        </is>
      </c>
      <c r="B49" s="6" t="inlineStr">
        <is>
          <t>2.8</t>
        </is>
      </c>
      <c r="C49" s="9" t="inlineStr">
        <is>
          <t>Petroleum, Coal Products &amp; Nuclear Fuels</t>
        </is>
      </c>
      <c r="D49" s="10" t="n">
        <v>150054.36</v>
      </c>
      <c r="E49" s="11" t="n">
        <v>17.21</v>
      </c>
      <c r="F49" s="11" t="n">
        <v>17.21</v>
      </c>
      <c r="G49" s="11" t="n">
        <v>17.21</v>
      </c>
      <c r="H49" s="12" t="n">
        <v>3.9877</v>
      </c>
      <c r="I49" s="12" t="n">
        <v>3.9877</v>
      </c>
      <c r="J49" s="12" t="n">
        <v>3.9877</v>
      </c>
      <c r="K49" s="7" t="inlineStr">
        <is>
          <t>MATCH</t>
        </is>
      </c>
    </row>
    <row r="50">
      <c r="A50" s="6" t="inlineStr">
        <is>
          <t>2024-06</t>
        </is>
      </c>
      <c r="B50" s="6" t="inlineStr">
        <is>
          <t>2.17</t>
        </is>
      </c>
      <c r="C50" s="9" t="inlineStr">
        <is>
          <t>Construction</t>
        </is>
      </c>
      <c r="D50" s="10" t="n">
        <v>145344.16</v>
      </c>
      <c r="E50" s="11" t="n">
        <v>10.46</v>
      </c>
      <c r="F50" s="11" t="n">
        <v>10.46</v>
      </c>
      <c r="G50" s="11" t="n">
        <v>10.46</v>
      </c>
      <c r="H50" s="12" t="n">
        <v>3.8625</v>
      </c>
      <c r="I50" s="12" t="n">
        <v>3.8625</v>
      </c>
      <c r="J50" s="12" t="n">
        <v>3.8625</v>
      </c>
      <c r="K50" s="7" t="inlineStr">
        <is>
          <t>MATCH</t>
        </is>
      </c>
    </row>
    <row r="51">
      <c r="A51" s="6" t="inlineStr">
        <is>
          <t>2024-06</t>
        </is>
      </c>
      <c r="B51" s="6" t="inlineStr">
        <is>
          <t>2.15</t>
        </is>
      </c>
      <c r="C51" s="9" t="inlineStr">
        <is>
          <t>Vehicles, Vehicle Parts &amp; Transport Equipment</t>
        </is>
      </c>
      <c r="D51" s="10" t="n">
        <v>113509.18</v>
      </c>
      <c r="E51" s="11" t="n">
        <v>6.31</v>
      </c>
      <c r="F51" s="11" t="n">
        <v>6.31</v>
      </c>
      <c r="G51" s="11" t="n">
        <v>6.31</v>
      </c>
      <c r="H51" s="12" t="n">
        <v>3.0165</v>
      </c>
      <c r="I51" s="12" t="n">
        <v>3.0165</v>
      </c>
      <c r="J51" s="12" t="n">
        <v>3.0165</v>
      </c>
      <c r="K51" s="7" t="inlineStr">
        <is>
          <t>MATCH</t>
        </is>
      </c>
    </row>
    <row r="52">
      <c r="A52" s="6" t="inlineStr">
        <is>
          <t>2024-06</t>
        </is>
      </c>
      <c r="B52" s="6" t="inlineStr">
        <is>
          <t>2.10</t>
        </is>
      </c>
      <c r="C52" s="9" t="inlineStr">
        <is>
          <t>Rubber, Plastic &amp; their Products</t>
        </is>
      </c>
      <c r="D52" s="10" t="n">
        <v>88970.10000000001</v>
      </c>
      <c r="E52" s="11" t="n">
        <v>6.21</v>
      </c>
      <c r="F52" s="11" t="n">
        <v>6.21</v>
      </c>
      <c r="G52" s="11" t="n">
        <v>6.21</v>
      </c>
      <c r="H52" s="12" t="n">
        <v>2.3644</v>
      </c>
      <c r="I52" s="12" t="n">
        <v>2.3644</v>
      </c>
      <c r="J52" s="12" t="n">
        <v>2.3644</v>
      </c>
      <c r="K52" s="7" t="inlineStr">
        <is>
          <t>MATCH</t>
        </is>
      </c>
    </row>
    <row r="53">
      <c r="A53" s="6" t="inlineStr">
        <is>
          <t>2024-06</t>
        </is>
      </c>
      <c r="B53" s="6" t="inlineStr">
        <is>
          <t>2.16</t>
        </is>
      </c>
      <c r="C53" s="9" t="inlineStr">
        <is>
          <t>Gems &amp; Jewellery</t>
        </is>
      </c>
      <c r="D53" s="10" t="n">
        <v>84300.7</v>
      </c>
      <c r="E53" s="11" t="n">
        <v>3.54</v>
      </c>
      <c r="F53" s="11" t="n">
        <v>3.54</v>
      </c>
      <c r="G53" s="11" t="n">
        <v>3.54</v>
      </c>
      <c r="H53" s="12" t="n">
        <v>2.2403</v>
      </c>
      <c r="I53" s="12" t="n">
        <v>2.2403</v>
      </c>
      <c r="J53" s="12" t="n">
        <v>2.2403</v>
      </c>
      <c r="K53" s="7" t="inlineStr">
        <is>
          <t>MATCH</t>
        </is>
      </c>
    </row>
    <row r="54">
      <c r="A54" s="6" t="inlineStr">
        <is>
          <t>2024-06</t>
        </is>
      </c>
      <c r="B54" s="6" t="inlineStr">
        <is>
          <t>2.12</t>
        </is>
      </c>
      <c r="C54" s="9" t="inlineStr">
        <is>
          <t>Cement &amp; Cement Products</t>
        </is>
      </c>
      <c r="D54" s="10" t="n">
        <v>60570.98</v>
      </c>
      <c r="E54" s="11" t="n">
        <v>6.08</v>
      </c>
      <c r="F54" s="11" t="n">
        <v>6.08</v>
      </c>
      <c r="G54" s="11" t="n">
        <v>6.08</v>
      </c>
      <c r="H54" s="12" t="n">
        <v>1.6097</v>
      </c>
      <c r="I54" s="12" t="n">
        <v>1.6097</v>
      </c>
      <c r="J54" s="12" t="n">
        <v>1.6097</v>
      </c>
      <c r="K54" s="7" t="inlineStr">
        <is>
          <t>MATCH</t>
        </is>
      </c>
    </row>
    <row r="55">
      <c r="A55" s="6" t="inlineStr">
        <is>
          <t>2024-06</t>
        </is>
      </c>
      <c r="B55" s="6" t="inlineStr">
        <is>
          <t>2.1</t>
        </is>
      </c>
      <c r="C55" s="9" t="inlineStr">
        <is>
          <t>Mining &amp; Quarrying (incl. Coal)</t>
        </is>
      </c>
      <c r="D55" s="10" t="n">
        <v>55648.73</v>
      </c>
      <c r="E55" s="11" t="n">
        <v>3.7</v>
      </c>
      <c r="F55" s="11" t="n">
        <v>3.7</v>
      </c>
      <c r="G55" s="11" t="n">
        <v>3.7</v>
      </c>
      <c r="H55" s="12" t="n">
        <v>1.4789</v>
      </c>
      <c r="I55" s="12" t="n">
        <v>1.4789</v>
      </c>
      <c r="J55" s="12" t="n">
        <v>1.4789</v>
      </c>
      <c r="K55" s="7" t="inlineStr">
        <is>
          <t>MATCH</t>
        </is>
      </c>
    </row>
    <row r="56">
      <c r="A56" s="6" t="inlineStr">
        <is>
          <t>2024-06</t>
        </is>
      </c>
      <c r="B56" s="6" t="inlineStr">
        <is>
          <t>2.7</t>
        </is>
      </c>
      <c r="C56" s="9" t="inlineStr">
        <is>
          <t>Paper &amp; Paper Products</t>
        </is>
      </c>
      <c r="D56" s="10" t="n">
        <v>47583.86</v>
      </c>
      <c r="E56" s="11" t="n">
        <v>6.26</v>
      </c>
      <c r="F56" s="11" t="n">
        <v>6.26</v>
      </c>
      <c r="G56" s="11" t="n">
        <v>6.26</v>
      </c>
      <c r="H56" s="12" t="n">
        <v>1.2645</v>
      </c>
      <c r="I56" s="12" t="n">
        <v>1.2645</v>
      </c>
      <c r="J56" s="12" t="n">
        <v>1.2645</v>
      </c>
      <c r="K56" s="7" t="inlineStr">
        <is>
          <t>MATCH</t>
        </is>
      </c>
    </row>
    <row r="57">
      <c r="A57" s="6" t="inlineStr">
        <is>
          <t>2024-06</t>
        </is>
      </c>
      <c r="B57" s="6" t="inlineStr">
        <is>
          <t>2.3</t>
        </is>
      </c>
      <c r="C57" s="9" t="inlineStr">
        <is>
          <t>Beverage &amp; Tobacco</t>
        </is>
      </c>
      <c r="D57" s="10" t="n">
        <v>30519.76</v>
      </c>
      <c r="E57" s="11" t="n">
        <v>32.87</v>
      </c>
      <c r="F57" s="11" t="n">
        <v>32.87</v>
      </c>
      <c r="G57" s="11" t="n">
        <v>32.87</v>
      </c>
      <c r="H57" s="12" t="n">
        <v>0.8111</v>
      </c>
      <c r="I57" s="12" t="n">
        <v>0.8111</v>
      </c>
      <c r="J57" s="12" t="n">
        <v>0.8111</v>
      </c>
      <c r="K57" s="7" t="inlineStr">
        <is>
          <t>MATCH</t>
        </is>
      </c>
    </row>
    <row r="58">
      <c r="A58" s="6" t="inlineStr">
        <is>
          <t>2024-06</t>
        </is>
      </c>
      <c r="B58" s="6" t="inlineStr">
        <is>
          <t>2.6</t>
        </is>
      </c>
      <c r="C58" s="9" t="inlineStr">
        <is>
          <t>Wood &amp; Wood Products</t>
        </is>
      </c>
      <c r="D58" s="10" t="n">
        <v>24222.21</v>
      </c>
      <c r="E58" s="11" t="n">
        <v>10.57</v>
      </c>
      <c r="F58" s="11" t="n">
        <v>10.57</v>
      </c>
      <c r="G58" s="11" t="n">
        <v>10.57</v>
      </c>
      <c r="H58" s="12" t="n">
        <v>0.6437</v>
      </c>
      <c r="I58" s="12" t="n">
        <v>0.6437</v>
      </c>
      <c r="J58" s="12" t="n">
        <v>0.6437</v>
      </c>
      <c r="K58" s="7" t="inlineStr">
        <is>
          <t>MATCH</t>
        </is>
      </c>
    </row>
    <row r="59">
      <c r="A59" s="6" t="inlineStr">
        <is>
          <t>2024-06</t>
        </is>
      </c>
      <c r="B59" s="6" t="inlineStr">
        <is>
          <t>2.5</t>
        </is>
      </c>
      <c r="C59" s="9" t="inlineStr">
        <is>
          <t>Leather &amp; Leather Products</t>
        </is>
      </c>
      <c r="D59" s="10" t="n">
        <v>12621.22</v>
      </c>
      <c r="E59" s="11" t="n">
        <v>4.41</v>
      </c>
      <c r="F59" s="11" t="n">
        <v>4.41</v>
      </c>
      <c r="G59" s="11" t="n">
        <v>4.41</v>
      </c>
      <c r="H59" s="12" t="n">
        <v>0.3354</v>
      </c>
      <c r="I59" s="12" t="n">
        <v>0.3354</v>
      </c>
      <c r="J59" s="12" t="n">
        <v>0.3354</v>
      </c>
      <c r="K59" s="7" t="inlineStr">
        <is>
          <t>MATCH</t>
        </is>
      </c>
    </row>
    <row r="60">
      <c r="A60" s="6" t="inlineStr">
        <is>
          <t>2024-06</t>
        </is>
      </c>
      <c r="B60" s="6" t="inlineStr">
        <is>
          <t>2.11</t>
        </is>
      </c>
      <c r="C60" s="9" t="inlineStr">
        <is>
          <t>Glass &amp; Glassware</t>
        </is>
      </c>
      <c r="D60" s="10" t="n">
        <v>12339.68</v>
      </c>
      <c r="E60" s="11" t="n">
        <v>26.22</v>
      </c>
      <c r="F60" s="11" t="n">
        <v>26.22</v>
      </c>
      <c r="G60" s="11" t="n">
        <v>26.22</v>
      </c>
      <c r="H60" s="12" t="n">
        <v>0.3279</v>
      </c>
      <c r="I60" s="12" t="n">
        <v>0.3279</v>
      </c>
      <c r="J60" s="12" t="n">
        <v>0.3279</v>
      </c>
      <c r="K60" s="7" t="inlineStr">
        <is>
          <t>MATCH</t>
        </is>
      </c>
    </row>
    <row r="61">
      <c r="A61" s="6" t="inlineStr">
        <is>
          <t>2023-06</t>
        </is>
      </c>
      <c r="B61" s="6" t="inlineStr">
        <is>
          <t>2.18</t>
        </is>
      </c>
      <c r="C61" s="9" t="inlineStr">
        <is>
          <t>Infrastructure</t>
        </is>
      </c>
      <c r="D61" s="10" t="n">
        <v>1254603.38</v>
      </c>
      <c r="E61" s="11" t="n">
        <v>1.83</v>
      </c>
      <c r="F61" s="11" t="n">
        <v>1.83</v>
      </c>
      <c r="G61" s="11" t="n">
        <v>1.83</v>
      </c>
      <c r="H61" s="12" t="n">
        <v>36.3882</v>
      </c>
      <c r="I61" s="12" t="n">
        <v>36.3882</v>
      </c>
      <c r="J61" s="12" t="n">
        <v>36.3882</v>
      </c>
      <c r="K61" s="7" t="inlineStr">
        <is>
          <t>MATCH</t>
        </is>
      </c>
    </row>
    <row r="62">
      <c r="A62" s="6" t="inlineStr">
        <is>
          <t>2023-06</t>
        </is>
      </c>
      <c r="B62" s="6" t="inlineStr">
        <is>
          <t>2.13</t>
        </is>
      </c>
      <c r="C62" s="9" t="inlineStr">
        <is>
          <t>Basic Metal &amp; Metal Product</t>
        </is>
      </c>
      <c r="D62" s="10" t="n">
        <v>356440.47</v>
      </c>
      <c r="E62" s="11" t="n">
        <v>22.57</v>
      </c>
      <c r="F62" s="11" t="n">
        <v>22.57</v>
      </c>
      <c r="G62" s="11" t="n">
        <v>22.57</v>
      </c>
      <c r="H62" s="12" t="n">
        <v>10.3381</v>
      </c>
      <c r="I62" s="12" t="n">
        <v>10.3381</v>
      </c>
      <c r="J62" s="12" t="n">
        <v>10.3381</v>
      </c>
      <c r="K62" s="7" t="inlineStr">
        <is>
          <t>MATCH</t>
        </is>
      </c>
    </row>
    <row r="63">
      <c r="A63" s="6" t="inlineStr">
        <is>
          <t>2023-06</t>
        </is>
      </c>
      <c r="B63" s="6" t="inlineStr">
        <is>
          <t>2.19</t>
        </is>
      </c>
      <c r="C63" s="9" t="inlineStr">
        <is>
          <t>Other Industries</t>
        </is>
      </c>
      <c r="D63" s="10" t="n">
        <v>240866.35</v>
      </c>
      <c r="E63" s="11" t="n">
        <v>1.31</v>
      </c>
      <c r="F63" s="11" t="n">
        <v>1.31</v>
      </c>
      <c r="G63" s="11" t="n">
        <v>1.31</v>
      </c>
      <c r="H63" s="12" t="n">
        <v>6.986</v>
      </c>
      <c r="I63" s="12" t="n">
        <v>6.986</v>
      </c>
      <c r="J63" s="12" t="n">
        <v>6.986</v>
      </c>
      <c r="K63" s="7" t="inlineStr">
        <is>
          <t>MATCH</t>
        </is>
      </c>
    </row>
    <row r="64">
      <c r="A64" s="6" t="inlineStr">
        <is>
          <t>2023-06</t>
        </is>
      </c>
      <c r="B64" s="6" t="inlineStr">
        <is>
          <t>2.4</t>
        </is>
      </c>
      <c r="C64" s="9" t="inlineStr">
        <is>
          <t>Textiles</t>
        </is>
      </c>
      <c r="D64" s="10" t="n">
        <v>240440.21</v>
      </c>
      <c r="E64" s="11" t="n">
        <v>9.369999999999999</v>
      </c>
      <c r="F64" s="11" t="n">
        <v>9.369999999999999</v>
      </c>
      <c r="G64" s="11" t="n">
        <v>9.369999999999999</v>
      </c>
      <c r="H64" s="12" t="n">
        <v>6.9737</v>
      </c>
      <c r="I64" s="12" t="n">
        <v>6.9737</v>
      </c>
      <c r="J64" s="12" t="n">
        <v>6.9737</v>
      </c>
      <c r="K64" s="7" t="inlineStr">
        <is>
          <t>MATCH</t>
        </is>
      </c>
    </row>
    <row r="65">
      <c r="A65" s="6" t="inlineStr">
        <is>
          <t>2023-06</t>
        </is>
      </c>
      <c r="B65" s="6" t="inlineStr">
        <is>
          <t>2.9</t>
        </is>
      </c>
      <c r="C65" s="9" t="inlineStr">
        <is>
          <t>Chemicals &amp; Chemical Products</t>
        </is>
      </c>
      <c r="D65" s="10" t="n">
        <v>228203.72</v>
      </c>
      <c r="E65" s="11" t="n">
        <v>6.65</v>
      </c>
      <c r="F65" s="11" t="n">
        <v>6.65</v>
      </c>
      <c r="G65" s="11" t="n">
        <v>6.65</v>
      </c>
      <c r="H65" s="12" t="n">
        <v>6.6188</v>
      </c>
      <c r="I65" s="12" t="n">
        <v>6.6188</v>
      </c>
      <c r="J65" s="12" t="n">
        <v>6.6188</v>
      </c>
      <c r="K65" s="7" t="inlineStr">
        <is>
          <t>MATCH</t>
        </is>
      </c>
    </row>
    <row r="66">
      <c r="A66" s="6" t="inlineStr">
        <is>
          <t>2023-06</t>
        </is>
      </c>
      <c r="B66" s="6" t="inlineStr">
        <is>
          <t>2.14</t>
        </is>
      </c>
      <c r="C66" s="9" t="inlineStr">
        <is>
          <t>All Engineering</t>
        </is>
      </c>
      <c r="D66" s="10" t="n">
        <v>187106.04</v>
      </c>
      <c r="E66" s="11" t="n">
        <v>10.31</v>
      </c>
      <c r="F66" s="11" t="n">
        <v>10.31</v>
      </c>
      <c r="G66" s="11" t="n">
        <v>10.31</v>
      </c>
      <c r="H66" s="12" t="n">
        <v>5.4268</v>
      </c>
      <c r="I66" s="12" t="n">
        <v>5.4268</v>
      </c>
      <c r="J66" s="12" t="n">
        <v>5.4268</v>
      </c>
      <c r="K66" s="7" t="inlineStr">
        <is>
          <t>MATCH</t>
        </is>
      </c>
    </row>
    <row r="67">
      <c r="A67" s="6" t="inlineStr">
        <is>
          <t>2023-06</t>
        </is>
      </c>
      <c r="B67" s="6" t="inlineStr">
        <is>
          <t>2.2</t>
        </is>
      </c>
      <c r="C67" s="9" t="inlineStr">
        <is>
          <t>Food Processing</t>
        </is>
      </c>
      <c r="D67" s="10" t="n">
        <v>186319.46</v>
      </c>
      <c r="E67" s="11" t="n">
        <v>6.8</v>
      </c>
      <c r="F67" s="11" t="n">
        <v>6.8</v>
      </c>
      <c r="G67" s="11" t="n">
        <v>6.8</v>
      </c>
      <c r="H67" s="12" t="n">
        <v>5.404</v>
      </c>
      <c r="I67" s="12" t="n">
        <v>5.404</v>
      </c>
      <c r="J67" s="12" t="n">
        <v>5.404</v>
      </c>
      <c r="K67" s="7" t="inlineStr">
        <is>
          <t>MATCH</t>
        </is>
      </c>
    </row>
    <row r="68">
      <c r="A68" s="6" t="inlineStr">
        <is>
          <t>2023-06</t>
        </is>
      </c>
      <c r="B68" s="6" t="inlineStr">
        <is>
          <t>2.17</t>
        </is>
      </c>
      <c r="C68" s="9" t="inlineStr">
        <is>
          <t>Construction</t>
        </is>
      </c>
      <c r="D68" s="10" t="n">
        <v>131576.31</v>
      </c>
      <c r="E68" s="11" t="n">
        <v>8.65</v>
      </c>
      <c r="F68" s="11" t="n">
        <v>8.65</v>
      </c>
      <c r="G68" s="11" t="n">
        <v>8.65</v>
      </c>
      <c r="H68" s="12" t="n">
        <v>3.8162</v>
      </c>
      <c r="I68" s="12" t="n">
        <v>3.8162</v>
      </c>
      <c r="J68" s="12" t="n">
        <v>3.8162</v>
      </c>
      <c r="K68" s="7" t="inlineStr">
        <is>
          <t>MATCH</t>
        </is>
      </c>
    </row>
    <row r="69">
      <c r="A69" s="6" t="inlineStr">
        <is>
          <t>2023-06</t>
        </is>
      </c>
      <c r="B69" s="6" t="inlineStr">
        <is>
          <t>2.8</t>
        </is>
      </c>
      <c r="C69" s="9" t="inlineStr">
        <is>
          <t>Petroleum, Coal Products &amp; Nuclear Fuels</t>
        </is>
      </c>
      <c r="D69" s="10" t="n">
        <v>128022.32</v>
      </c>
      <c r="E69" s="11" t="n">
        <v>23.51</v>
      </c>
      <c r="F69" s="11" t="n">
        <v>23.51</v>
      </c>
      <c r="G69" s="11" t="n">
        <v>23.51</v>
      </c>
      <c r="H69" s="12" t="n">
        <v>3.7131</v>
      </c>
      <c r="I69" s="12" t="n">
        <v>3.7131</v>
      </c>
      <c r="J69" s="12" t="n">
        <v>3.7131</v>
      </c>
      <c r="K69" s="7" t="inlineStr">
        <is>
          <t>MATCH</t>
        </is>
      </c>
    </row>
    <row r="70">
      <c r="A70" s="6" t="inlineStr">
        <is>
          <t>2023-06</t>
        </is>
      </c>
      <c r="B70" s="6" t="inlineStr">
        <is>
          <t>2.15</t>
        </is>
      </c>
      <c r="C70" s="9" t="inlineStr">
        <is>
          <t>Vehicles, Vehicle Parts &amp; Transport Equipment</t>
        </is>
      </c>
      <c r="D70" s="10" t="n">
        <v>106767.72</v>
      </c>
      <c r="E70" s="11" t="n">
        <v>8.359999999999999</v>
      </c>
      <c r="F70" s="11" t="n">
        <v>8.359999999999999</v>
      </c>
      <c r="G70" s="11" t="n">
        <v>8.359999999999999</v>
      </c>
      <c r="H70" s="12" t="n">
        <v>3.0967</v>
      </c>
      <c r="I70" s="12" t="n">
        <v>3.0967</v>
      </c>
      <c r="J70" s="12" t="n">
        <v>3.0967</v>
      </c>
      <c r="K70" s="7" t="inlineStr">
        <is>
          <t>MATCH</t>
        </is>
      </c>
    </row>
    <row r="71">
      <c r="A71" s="6" t="inlineStr">
        <is>
          <t>2023-06</t>
        </is>
      </c>
      <c r="B71" s="6" t="inlineStr">
        <is>
          <t>2.10</t>
        </is>
      </c>
      <c r="C71" s="9" t="inlineStr">
        <is>
          <t>Rubber, Plastic &amp; their Products</t>
        </is>
      </c>
      <c r="D71" s="10" t="n">
        <v>83771.82000000001</v>
      </c>
      <c r="E71" s="11" t="n">
        <v>8.57</v>
      </c>
      <c r="F71" s="11" t="n">
        <v>8.57</v>
      </c>
      <c r="G71" s="11" t="n">
        <v>8.57</v>
      </c>
      <c r="H71" s="12" t="n">
        <v>2.4297</v>
      </c>
      <c r="I71" s="12" t="n">
        <v>2.4297</v>
      </c>
      <c r="J71" s="12" t="n">
        <v>2.4297</v>
      </c>
      <c r="K71" s="7" t="inlineStr">
        <is>
          <t>MATCH</t>
        </is>
      </c>
    </row>
    <row r="72">
      <c r="A72" s="6" t="inlineStr">
        <is>
          <t>2023-06</t>
        </is>
      </c>
      <c r="B72" s="6" t="inlineStr">
        <is>
          <t>2.16</t>
        </is>
      </c>
      <c r="C72" s="9" t="inlineStr">
        <is>
          <t>Gems &amp; Jewellery</t>
        </is>
      </c>
      <c r="D72" s="10" t="n">
        <v>81421.03999999999</v>
      </c>
      <c r="E72" s="11" t="n">
        <v>9.48</v>
      </c>
      <c r="F72" s="11" t="n">
        <v>9.48</v>
      </c>
      <c r="G72" s="11" t="n">
        <v>9.48</v>
      </c>
      <c r="H72" s="12" t="n">
        <v>2.3615</v>
      </c>
      <c r="I72" s="12" t="n">
        <v>2.3615</v>
      </c>
      <c r="J72" s="12" t="n">
        <v>2.3615</v>
      </c>
      <c r="K72" s="7" t="inlineStr">
        <is>
          <t>MATCH</t>
        </is>
      </c>
    </row>
    <row r="73">
      <c r="A73" s="6" t="inlineStr">
        <is>
          <t>2023-06</t>
        </is>
      </c>
      <c r="B73" s="6" t="inlineStr">
        <is>
          <t>2.12</t>
        </is>
      </c>
      <c r="C73" s="9" t="inlineStr">
        <is>
          <t>Cement &amp; Cement Products</t>
        </is>
      </c>
      <c r="D73" s="10" t="n">
        <v>57100.08</v>
      </c>
      <c r="E73" s="11" t="n">
        <v>14.96</v>
      </c>
      <c r="F73" s="11" t="n">
        <v>14.96</v>
      </c>
      <c r="G73" s="11" t="n">
        <v>14.96</v>
      </c>
      <c r="H73" s="12" t="n">
        <v>1.6561</v>
      </c>
      <c r="I73" s="12" t="n">
        <v>1.6561</v>
      </c>
      <c r="J73" s="12" t="n">
        <v>1.6561</v>
      </c>
      <c r="K73" s="7" t="inlineStr">
        <is>
          <t>MATCH</t>
        </is>
      </c>
    </row>
    <row r="74">
      <c r="A74" s="6" t="inlineStr">
        <is>
          <t>2023-06</t>
        </is>
      </c>
      <c r="B74" s="6" t="inlineStr">
        <is>
          <t>2.1</t>
        </is>
      </c>
      <c r="C74" s="9" t="inlineStr">
        <is>
          <t>Mining &amp; Quarrying (incl. Coal)</t>
        </is>
      </c>
      <c r="D74" s="10" t="n">
        <v>53665.75</v>
      </c>
      <c r="E74" s="11" t="n">
        <v>8.109999999999999</v>
      </c>
      <c r="F74" s="11" t="n">
        <v>8.109999999999999</v>
      </c>
      <c r="G74" s="11" t="n">
        <v>8.109999999999999</v>
      </c>
      <c r="H74" s="12" t="n">
        <v>1.5565</v>
      </c>
      <c r="I74" s="12" t="n">
        <v>1.5565</v>
      </c>
      <c r="J74" s="12" t="n">
        <v>1.5565</v>
      </c>
      <c r="K74" s="7" t="inlineStr">
        <is>
          <t>MATCH</t>
        </is>
      </c>
    </row>
    <row r="75">
      <c r="A75" s="6" t="inlineStr">
        <is>
          <t>2023-06</t>
        </is>
      </c>
      <c r="B75" s="6" t="inlineStr">
        <is>
          <t>2.7</t>
        </is>
      </c>
      <c r="C75" s="9" t="inlineStr">
        <is>
          <t>Paper &amp; Paper Products</t>
        </is>
      </c>
      <c r="D75" s="10" t="n">
        <v>44781.82</v>
      </c>
      <c r="E75" s="11" t="n">
        <v>6.28</v>
      </c>
      <c r="F75" s="11" t="n">
        <v>6.28</v>
      </c>
      <c r="G75" s="11" t="n">
        <v>6.28</v>
      </c>
      <c r="H75" s="12" t="n">
        <v>1.2988</v>
      </c>
      <c r="I75" s="12" t="n">
        <v>1.2988</v>
      </c>
      <c r="J75" s="12" t="n">
        <v>1.2988</v>
      </c>
      <c r="K75" s="7" t="inlineStr">
        <is>
          <t>MATCH</t>
        </is>
      </c>
    </row>
    <row r="76">
      <c r="A76" s="6" t="inlineStr">
        <is>
          <t>2023-06</t>
        </is>
      </c>
      <c r="B76" s="6" t="inlineStr">
        <is>
          <t>2.3</t>
        </is>
      </c>
      <c r="C76" s="9" t="inlineStr">
        <is>
          <t>Beverage &amp; Tobacco</t>
        </is>
      </c>
      <c r="D76" s="10" t="n">
        <v>22969.48</v>
      </c>
      <c r="E76" s="11" t="n">
        <v>29.9</v>
      </c>
      <c r="F76" s="11" t="n">
        <v>29.9</v>
      </c>
      <c r="G76" s="11" t="n">
        <v>29.9</v>
      </c>
      <c r="H76" s="12" t="n">
        <v>0.6662</v>
      </c>
      <c r="I76" s="12" t="n">
        <v>0.6662</v>
      </c>
      <c r="J76" s="12" t="n">
        <v>0.6662</v>
      </c>
      <c r="K76" s="7" t="inlineStr">
        <is>
          <t>MATCH</t>
        </is>
      </c>
    </row>
    <row r="77">
      <c r="A77" s="6" t="inlineStr">
        <is>
          <t>2023-06</t>
        </is>
      </c>
      <c r="B77" s="6" t="inlineStr">
        <is>
          <t>2.6</t>
        </is>
      </c>
      <c r="C77" s="9" t="inlineStr">
        <is>
          <t>Wood &amp; Wood Products</t>
        </is>
      </c>
      <c r="D77" s="10" t="n">
        <v>21906.5</v>
      </c>
      <c r="E77" s="11" t="n">
        <v>23.67</v>
      </c>
      <c r="F77" s="11" t="n">
        <v>23.67</v>
      </c>
      <c r="G77" s="11" t="n">
        <v>23.67</v>
      </c>
      <c r="H77" s="12" t="n">
        <v>0.6354</v>
      </c>
      <c r="I77" s="12" t="n">
        <v>0.6354</v>
      </c>
      <c r="J77" s="12" t="n">
        <v>0.6354</v>
      </c>
      <c r="K77" s="7" t="inlineStr">
        <is>
          <t>MATCH</t>
        </is>
      </c>
    </row>
    <row r="78">
      <c r="A78" s="6" t="inlineStr">
        <is>
          <t>2023-06</t>
        </is>
      </c>
      <c r="B78" s="6" t="inlineStr">
        <is>
          <t>2.5</t>
        </is>
      </c>
      <c r="C78" s="9" t="inlineStr">
        <is>
          <t>Leather &amp; Leather Products</t>
        </is>
      </c>
      <c r="D78" s="10" t="n">
        <v>12087.82</v>
      </c>
      <c r="E78" s="11" t="n">
        <v>3.23</v>
      </c>
      <c r="F78" s="11" t="n">
        <v>3.23</v>
      </c>
      <c r="G78" s="11" t="n">
        <v>3.23</v>
      </c>
      <c r="H78" s="12" t="n">
        <v>0.3506</v>
      </c>
      <c r="I78" s="12" t="n">
        <v>0.3506</v>
      </c>
      <c r="J78" s="12" t="n">
        <v>0.3506</v>
      </c>
      <c r="K78" s="7" t="inlineStr">
        <is>
          <t>MATCH</t>
        </is>
      </c>
    </row>
    <row r="79">
      <c r="A79" s="6" t="inlineStr">
        <is>
          <t>2023-06</t>
        </is>
      </c>
      <c r="B79" s="6" t="inlineStr">
        <is>
          <t>2.11</t>
        </is>
      </c>
      <c r="C79" s="9" t="inlineStr">
        <is>
          <t>Glass &amp; Glassware</t>
        </is>
      </c>
      <c r="D79" s="10" t="n">
        <v>9776.120000000001</v>
      </c>
      <c r="E79" s="11" t="n">
        <v>35.3</v>
      </c>
      <c r="F79" s="11" t="n">
        <v>35.3</v>
      </c>
      <c r="G79" s="11" t="n">
        <v>35.3</v>
      </c>
      <c r="H79" s="12" t="n">
        <v>0.2835</v>
      </c>
      <c r="I79" s="12" t="n">
        <v>0.2835</v>
      </c>
      <c r="J79" s="12" t="n">
        <v>0.2835</v>
      </c>
      <c r="K79" s="7" t="inlineStr">
        <is>
          <t>MATCH</t>
        </is>
      </c>
    </row>
  </sheetData>
  <mergeCells count="1">
    <mergeCell ref="A1:K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3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41" customWidth="1" min="2" max="2"/>
    <col width="24" customWidth="1" min="3" max="3"/>
    <col width="21" customWidth="1" min="4" max="4"/>
    <col width="16" customWidth="1" min="5" max="5"/>
    <col width="17" customWidth="1" min="6" max="6"/>
    <col width="25" customWidth="1" min="7" max="7"/>
  </cols>
  <sheetData>
    <row r="1">
      <c r="A1" s="1" t="inlineStr">
        <is>
          <t>PORTFOLIO CONCENTRATION: MONTHLY HHI &amp; TOP-3 SECTOR SHARE</t>
        </is>
      </c>
    </row>
    <row r="2"/>
    <row r="3">
      <c r="A3" s="8" t="inlineStr">
        <is>
          <t>Reporting Month</t>
        </is>
      </c>
      <c r="B3" s="8" t="inlineStr">
        <is>
          <t>Total Mutually Exclusive Credit (₹ Cr)</t>
        </is>
      </c>
      <c r="C3" s="8" t="inlineStr">
        <is>
          <t>HHI (Points 0-10,000)</t>
        </is>
      </c>
      <c r="D3" s="8" t="inlineStr">
        <is>
          <t>HHI (Fraction 0-1)</t>
        </is>
      </c>
      <c r="E3" s="8" t="inlineStr">
        <is>
          <t>Top 3 Share %</t>
        </is>
      </c>
      <c r="F3" s="8" t="inlineStr">
        <is>
          <t>Largest Sector</t>
        </is>
      </c>
      <c r="G3" s="8" t="inlineStr">
        <is>
          <t>Largest Sector Share %</t>
        </is>
      </c>
    </row>
    <row r="4">
      <c r="A4" s="6" t="inlineStr">
        <is>
          <t>2019-01</t>
        </is>
      </c>
      <c r="B4" s="10" t="n">
        <v>2715406.47</v>
      </c>
      <c r="C4" s="13" t="n">
        <v>1713.94</v>
      </c>
      <c r="D4" s="12" t="n">
        <v>0.1714</v>
      </c>
      <c r="E4" s="14" t="n">
        <v>56.84</v>
      </c>
      <c r="F4" s="6" t="inlineStr">
        <is>
          <t>Infrastructure</t>
        </is>
      </c>
      <c r="G4" s="11" t="n">
        <v>36.02</v>
      </c>
    </row>
    <row r="5">
      <c r="A5" s="6" t="inlineStr">
        <is>
          <t>2019-02</t>
        </is>
      </c>
      <c r="B5" s="10" t="n">
        <v>2745352.94</v>
      </c>
      <c r="C5" s="13" t="n">
        <v>1698.84</v>
      </c>
      <c r="D5" s="12" t="n">
        <v>0.1699</v>
      </c>
      <c r="E5" s="14" t="n">
        <v>56.54</v>
      </c>
      <c r="F5" s="6" t="inlineStr">
        <is>
          <t>Infrastructure</t>
        </is>
      </c>
      <c r="G5" s="11" t="n">
        <v>35.79</v>
      </c>
    </row>
    <row r="6">
      <c r="A6" s="6" t="inlineStr">
        <is>
          <t>2019-03</t>
        </is>
      </c>
      <c r="B6" s="10" t="n">
        <v>2837528.33</v>
      </c>
      <c r="C6" s="13" t="n">
        <v>1757.88</v>
      </c>
      <c r="D6" s="12" t="n">
        <v>0.1758</v>
      </c>
      <c r="E6" s="14" t="n">
        <v>56.98</v>
      </c>
      <c r="F6" s="6" t="inlineStr">
        <is>
          <t>Infrastructure</t>
        </is>
      </c>
      <c r="G6" s="11" t="n">
        <v>36.8</v>
      </c>
    </row>
    <row r="7">
      <c r="A7" s="6" t="inlineStr">
        <is>
          <t>2019-04</t>
        </is>
      </c>
      <c r="B7" s="10" t="n">
        <v>2817879.12</v>
      </c>
      <c r="C7" s="13" t="n">
        <v>1792.49</v>
      </c>
      <c r="D7" s="12" t="n">
        <v>0.1792</v>
      </c>
      <c r="E7" s="14" t="n">
        <v>57.06</v>
      </c>
      <c r="F7" s="6" t="inlineStr">
        <is>
          <t>Infrastructure</t>
        </is>
      </c>
      <c r="G7" s="11" t="n">
        <v>37.47</v>
      </c>
    </row>
    <row r="8">
      <c r="A8" s="6" t="inlineStr">
        <is>
          <t>2019-05</t>
        </is>
      </c>
      <c r="B8" s="10" t="n">
        <v>2771471.96</v>
      </c>
      <c r="C8" s="13" t="n">
        <v>1805.44</v>
      </c>
      <c r="D8" s="12" t="n">
        <v>0.1805</v>
      </c>
      <c r="E8" s="14" t="n">
        <v>57.06</v>
      </c>
      <c r="F8" s="6" t="inlineStr">
        <is>
          <t>Infrastructure</t>
        </is>
      </c>
      <c r="G8" s="11" t="n">
        <v>37.63</v>
      </c>
    </row>
    <row r="9">
      <c r="A9" s="6" t="inlineStr">
        <is>
          <t>2019-06</t>
        </is>
      </c>
      <c r="B9" s="10" t="n">
        <v>2780229.12</v>
      </c>
      <c r="C9" s="13" t="n">
        <v>1777.92</v>
      </c>
      <c r="D9" s="12" t="n">
        <v>0.1778</v>
      </c>
      <c r="E9" s="14" t="n">
        <v>56.56</v>
      </c>
      <c r="F9" s="6" t="inlineStr">
        <is>
          <t>Infrastructure</t>
        </is>
      </c>
      <c r="G9" s="11" t="n">
        <v>37.24</v>
      </c>
    </row>
    <row r="10">
      <c r="A10" s="6" t="inlineStr">
        <is>
          <t>2019-07</t>
        </is>
      </c>
      <c r="B10" s="10" t="n">
        <v>2761535.02</v>
      </c>
      <c r="C10" s="13" t="n">
        <v>1793.28</v>
      </c>
      <c r="D10" s="12" t="n">
        <v>0.1793</v>
      </c>
      <c r="E10" s="14" t="n">
        <v>56.82</v>
      </c>
      <c r="F10" s="6" t="inlineStr">
        <is>
          <t>Infrastructure</t>
        </is>
      </c>
      <c r="G10" s="11" t="n">
        <v>37.49</v>
      </c>
    </row>
    <row r="11">
      <c r="A11" s="6" t="inlineStr">
        <is>
          <t>2019-08</t>
        </is>
      </c>
      <c r="B11" s="10" t="n">
        <v>2737075.98</v>
      </c>
      <c r="C11" s="13" t="n">
        <v>1745.16</v>
      </c>
      <c r="D11" s="12" t="n">
        <v>0.1745</v>
      </c>
      <c r="E11" s="14" t="n">
        <v>56.16</v>
      </c>
      <c r="F11" s="6" t="inlineStr">
        <is>
          <t>Infrastructure</t>
        </is>
      </c>
      <c r="G11" s="11" t="n">
        <v>36.74</v>
      </c>
    </row>
    <row r="12">
      <c r="A12" s="6" t="inlineStr">
        <is>
          <t>2019-09</t>
        </is>
      </c>
      <c r="B12" s="10" t="n">
        <v>2730943.18</v>
      </c>
      <c r="C12" s="13" t="n">
        <v>1752.17</v>
      </c>
      <c r="D12" s="12" t="n">
        <v>0.1752</v>
      </c>
      <c r="E12" s="14" t="n">
        <v>56.15</v>
      </c>
      <c r="F12" s="6" t="inlineStr">
        <is>
          <t>Infrastructure</t>
        </is>
      </c>
      <c r="G12" s="11" t="n">
        <v>36.86</v>
      </c>
    </row>
    <row r="13">
      <c r="A13" s="6" t="inlineStr">
        <is>
          <t>2019-10</t>
        </is>
      </c>
      <c r="B13" s="10" t="n">
        <v>2892418.98</v>
      </c>
      <c r="C13" s="13" t="n">
        <v>1745.66</v>
      </c>
      <c r="D13" s="12" t="n">
        <v>0.1746</v>
      </c>
      <c r="E13" s="14" t="n">
        <v>56.08</v>
      </c>
      <c r="F13" s="6" t="inlineStr">
        <is>
          <t>Infrastructure</t>
        </is>
      </c>
      <c r="G13" s="11" t="n">
        <v>36.83</v>
      </c>
    </row>
    <row r="14">
      <c r="A14" s="6" t="inlineStr">
        <is>
          <t>2019-11</t>
        </is>
      </c>
      <c r="B14" s="10" t="n">
        <v>2866553.89</v>
      </c>
      <c r="C14" s="13" t="n">
        <v>1780.88</v>
      </c>
      <c r="D14" s="12" t="n">
        <v>0.1781</v>
      </c>
      <c r="E14" s="14" t="n">
        <v>56.49</v>
      </c>
      <c r="F14" s="6" t="inlineStr">
        <is>
          <t>Infrastructure</t>
        </is>
      </c>
      <c r="G14" s="11" t="n">
        <v>37.38</v>
      </c>
    </row>
    <row r="15">
      <c r="A15" s="6" t="inlineStr">
        <is>
          <t>2019-12</t>
        </is>
      </c>
      <c r="B15" s="10" t="n">
        <v>2848416.11</v>
      </c>
      <c r="C15" s="13" t="n">
        <v>1771.79</v>
      </c>
      <c r="D15" s="12" t="n">
        <v>0.1772</v>
      </c>
      <c r="E15" s="14" t="n">
        <v>56.37</v>
      </c>
      <c r="F15" s="6" t="inlineStr">
        <is>
          <t>Infrastructure</t>
        </is>
      </c>
      <c r="G15" s="11" t="n">
        <v>37.32</v>
      </c>
    </row>
    <row r="16">
      <c r="A16" s="6" t="inlineStr">
        <is>
          <t>2020-01</t>
        </is>
      </c>
      <c r="B16" s="10" t="n">
        <v>2869245.82</v>
      </c>
      <c r="C16" s="13" t="n">
        <v>1759.84</v>
      </c>
      <c r="D16" s="12" t="n">
        <v>0.176</v>
      </c>
      <c r="E16" s="14" t="n">
        <v>56.08</v>
      </c>
      <c r="F16" s="6" t="inlineStr">
        <is>
          <t>Infrastructure</t>
        </is>
      </c>
      <c r="G16" s="11" t="n">
        <v>37.17</v>
      </c>
    </row>
    <row r="17">
      <c r="A17" s="6" t="inlineStr">
        <is>
          <t>2020-02</t>
        </is>
      </c>
      <c r="B17" s="10" t="n">
        <v>2871313.05</v>
      </c>
      <c r="C17" s="13" t="n">
        <v>1740.17</v>
      </c>
      <c r="D17" s="12" t="n">
        <v>0.174</v>
      </c>
      <c r="E17" s="14" t="n">
        <v>55.94</v>
      </c>
      <c r="F17" s="6" t="inlineStr">
        <is>
          <t>Infrastructure</t>
        </is>
      </c>
      <c r="G17" s="11" t="n">
        <v>36.86</v>
      </c>
    </row>
    <row r="18">
      <c r="A18" s="6" t="inlineStr">
        <is>
          <t>2020-03</t>
        </is>
      </c>
      <c r="B18" s="10" t="n">
        <v>2946851.25</v>
      </c>
      <c r="C18" s="13" t="n">
        <v>1734.81</v>
      </c>
      <c r="D18" s="12" t="n">
        <v>0.1735</v>
      </c>
      <c r="E18" s="14" t="n">
        <v>55.73</v>
      </c>
      <c r="F18" s="6" t="inlineStr">
        <is>
          <t>Infrastructure</t>
        </is>
      </c>
      <c r="G18" s="11" t="n">
        <v>36.77</v>
      </c>
    </row>
    <row r="19">
      <c r="A19" s="6" t="inlineStr">
        <is>
          <t>2020-04</t>
        </is>
      </c>
      <c r="B19" s="10" t="n">
        <v>2928353.27</v>
      </c>
      <c r="C19" s="13" t="n">
        <v>1749.76</v>
      </c>
      <c r="D19" s="12" t="n">
        <v>0.175</v>
      </c>
      <c r="E19" s="14" t="n">
        <v>55.76</v>
      </c>
      <c r="F19" s="6" t="inlineStr">
        <is>
          <t>Infrastructure</t>
        </is>
      </c>
      <c r="G19" s="11" t="n">
        <v>37.05</v>
      </c>
    </row>
    <row r="20">
      <c r="A20" s="6" t="inlineStr">
        <is>
          <t>2020-05</t>
        </is>
      </c>
      <c r="B20" s="10" t="n">
        <v>2904685.07</v>
      </c>
      <c r="C20" s="13" t="n">
        <v>1787.09</v>
      </c>
      <c r="D20" s="12" t="n">
        <v>0.1787</v>
      </c>
      <c r="E20" s="14" t="n">
        <v>56.36</v>
      </c>
      <c r="F20" s="6" t="inlineStr">
        <is>
          <t>Infrastructure</t>
        </is>
      </c>
      <c r="G20" s="11" t="n">
        <v>37.57</v>
      </c>
    </row>
    <row r="21">
      <c r="A21" s="6" t="inlineStr">
        <is>
          <t>2020-06</t>
        </is>
      </c>
      <c r="B21" s="10" t="n">
        <v>2911362.69</v>
      </c>
      <c r="C21" s="13" t="n">
        <v>1802.74</v>
      </c>
      <c r="D21" s="12" t="n">
        <v>0.1803</v>
      </c>
      <c r="E21" s="14" t="n">
        <v>56.47</v>
      </c>
      <c r="F21" s="6" t="inlineStr">
        <is>
          <t>Infrastructure</t>
        </is>
      </c>
      <c r="G21" s="11" t="n">
        <v>37.84</v>
      </c>
    </row>
    <row r="22">
      <c r="A22" s="6" t="inlineStr">
        <is>
          <t>2020-07</t>
        </is>
      </c>
      <c r="B22" s="10" t="n">
        <v>2868970.47</v>
      </c>
      <c r="C22" s="13" t="n">
        <v>1812.34</v>
      </c>
      <c r="D22" s="12" t="n">
        <v>0.1812</v>
      </c>
      <c r="E22" s="14" t="n">
        <v>56.53</v>
      </c>
      <c r="F22" s="6" t="inlineStr">
        <is>
          <t>Infrastructure</t>
        </is>
      </c>
      <c r="G22" s="11" t="n">
        <v>38</v>
      </c>
    </row>
    <row r="23">
      <c r="A23" s="6" t="inlineStr">
        <is>
          <t>2020-08</t>
        </is>
      </c>
      <c r="B23" s="10" t="n">
        <v>2825014.64</v>
      </c>
      <c r="C23" s="13" t="n">
        <v>1780.24</v>
      </c>
      <c r="D23" s="12" t="n">
        <v>0.178</v>
      </c>
      <c r="E23" s="14" t="n">
        <v>56.33</v>
      </c>
      <c r="F23" s="6" t="inlineStr">
        <is>
          <t>Infrastructure</t>
        </is>
      </c>
      <c r="G23" s="11" t="n">
        <v>37.46</v>
      </c>
    </row>
    <row r="24">
      <c r="A24" s="6" t="inlineStr">
        <is>
          <t>2020-09</t>
        </is>
      </c>
      <c r="B24" s="10" t="n">
        <v>2831679.89</v>
      </c>
      <c r="C24" s="13" t="n">
        <v>1772.07</v>
      </c>
      <c r="D24" s="12" t="n">
        <v>0.1772</v>
      </c>
      <c r="E24" s="14" t="n">
        <v>56.04</v>
      </c>
      <c r="F24" s="6" t="inlineStr">
        <is>
          <t>Infrastructure</t>
        </is>
      </c>
      <c r="G24" s="11" t="n">
        <v>37.42</v>
      </c>
    </row>
    <row r="25">
      <c r="A25" s="6" t="inlineStr">
        <is>
          <t>2020-10</t>
        </is>
      </c>
      <c r="B25" s="10" t="n">
        <v>2803794.83</v>
      </c>
      <c r="C25" s="13" t="n">
        <v>1759.79</v>
      </c>
      <c r="D25" s="12" t="n">
        <v>0.176</v>
      </c>
      <c r="E25" s="14" t="n">
        <v>55.87</v>
      </c>
      <c r="F25" s="6" t="inlineStr">
        <is>
          <t>Infrastructure</t>
        </is>
      </c>
      <c r="G25" s="11" t="n">
        <v>37.27</v>
      </c>
    </row>
    <row r="26">
      <c r="A26" s="6" t="inlineStr">
        <is>
          <t>2020-11</t>
        </is>
      </c>
      <c r="B26" s="10" t="n">
        <v>2817624.48</v>
      </c>
      <c r="C26" s="13" t="n">
        <v>1766.99</v>
      </c>
      <c r="D26" s="12" t="n">
        <v>0.1767</v>
      </c>
      <c r="E26" s="14" t="n">
        <v>55.93</v>
      </c>
      <c r="F26" s="6" t="inlineStr">
        <is>
          <t>Infrastructure</t>
        </is>
      </c>
      <c r="G26" s="11" t="n">
        <v>37.39</v>
      </c>
    </row>
    <row r="27">
      <c r="A27" s="6" t="inlineStr">
        <is>
          <t>2020-12</t>
        </is>
      </c>
      <c r="B27" s="10" t="n">
        <v>2822924.36</v>
      </c>
      <c r="C27" s="13" t="n">
        <v>1738.34</v>
      </c>
      <c r="D27" s="12" t="n">
        <v>0.1738</v>
      </c>
      <c r="E27" s="14" t="n">
        <v>55.26</v>
      </c>
      <c r="F27" s="6" t="inlineStr">
        <is>
          <t>Infrastructure</t>
        </is>
      </c>
      <c r="G27" s="11" t="n">
        <v>36.96</v>
      </c>
    </row>
    <row r="28">
      <c r="A28" s="6" t="inlineStr">
        <is>
          <t>2021-01</t>
        </is>
      </c>
      <c r="B28" s="10" t="n">
        <v>2945303.78</v>
      </c>
      <c r="C28" s="13" t="n">
        <v>1688.54</v>
      </c>
      <c r="D28" s="12" t="n">
        <v>0.1689</v>
      </c>
      <c r="E28" s="14" t="n">
        <v>54.55</v>
      </c>
      <c r="F28" s="6" t="inlineStr">
        <is>
          <t>Infrastructure</t>
        </is>
      </c>
      <c r="G28" s="11" t="n">
        <v>36.2</v>
      </c>
    </row>
    <row r="29">
      <c r="A29" s="6" t="inlineStr">
        <is>
          <t>2021-02</t>
        </is>
      </c>
      <c r="B29" s="10" t="n">
        <v>2975110.72</v>
      </c>
      <c r="C29" s="13" t="n">
        <v>1682.66</v>
      </c>
      <c r="D29" s="12" t="n">
        <v>0.1683</v>
      </c>
      <c r="E29" s="14" t="n">
        <v>54.36</v>
      </c>
      <c r="F29" s="6" t="inlineStr">
        <is>
          <t>Infrastructure</t>
        </is>
      </c>
      <c r="G29" s="11" t="n">
        <v>36.12</v>
      </c>
    </row>
    <row r="30">
      <c r="A30" s="6" t="inlineStr">
        <is>
          <t>2021-03</t>
        </is>
      </c>
      <c r="B30" s="10" t="n">
        <v>2940570.71</v>
      </c>
      <c r="C30" s="13" t="n">
        <v>1787.24</v>
      </c>
      <c r="D30" s="12" t="n">
        <v>0.1787</v>
      </c>
      <c r="E30" s="14" t="n">
        <v>55.64</v>
      </c>
      <c r="F30" s="6" t="inlineStr">
        <is>
          <t>Infrastructure</t>
        </is>
      </c>
      <c r="G30" s="11" t="n">
        <v>37.8</v>
      </c>
    </row>
    <row r="31">
      <c r="A31" s="6" t="inlineStr">
        <is>
          <t>2021-04</t>
        </is>
      </c>
      <c r="B31" s="10" t="n">
        <v>2962892.47</v>
      </c>
      <c r="C31" s="13" t="n">
        <v>1754.52</v>
      </c>
      <c r="D31" s="12" t="n">
        <v>0.1755</v>
      </c>
      <c r="E31" s="14" t="n">
        <v>54.92</v>
      </c>
      <c r="F31" s="6" t="inlineStr">
        <is>
          <t>Infrastructure</t>
        </is>
      </c>
      <c r="G31" s="11" t="n">
        <v>37.33</v>
      </c>
    </row>
    <row r="32">
      <c r="A32" s="6" t="inlineStr">
        <is>
          <t>2021-05</t>
        </is>
      </c>
      <c r="B32" s="10" t="n">
        <v>2957537.03</v>
      </c>
      <c r="C32" s="13" t="n">
        <v>1764.16</v>
      </c>
      <c r="D32" s="12" t="n">
        <v>0.1764</v>
      </c>
      <c r="E32" s="14" t="n">
        <v>54.99</v>
      </c>
      <c r="F32" s="6" t="inlineStr">
        <is>
          <t>Infrastructure</t>
        </is>
      </c>
      <c r="G32" s="11" t="n">
        <v>37.51</v>
      </c>
    </row>
    <row r="33">
      <c r="A33" s="6" t="inlineStr">
        <is>
          <t>2021-06</t>
        </is>
      </c>
      <c r="B33" s="10" t="n">
        <v>2941899.97</v>
      </c>
      <c r="C33" s="13" t="n">
        <v>1800.96</v>
      </c>
      <c r="D33" s="12" t="n">
        <v>0.1801</v>
      </c>
      <c r="E33" s="14" t="n">
        <v>55.38</v>
      </c>
      <c r="F33" s="6" t="inlineStr">
        <is>
          <t>Infrastructure</t>
        </is>
      </c>
      <c r="G33" s="11" t="n">
        <v>38.14</v>
      </c>
    </row>
    <row r="34">
      <c r="A34" s="6" t="inlineStr">
        <is>
          <t>2021-07</t>
        </is>
      </c>
      <c r="B34" s="10" t="n">
        <v>2934180.3</v>
      </c>
      <c r="C34" s="13" t="n">
        <v>1781.38</v>
      </c>
      <c r="D34" s="12" t="n">
        <v>0.1781</v>
      </c>
      <c r="E34" s="14" t="n">
        <v>54.89</v>
      </c>
      <c r="F34" s="6" t="inlineStr">
        <is>
          <t>Infrastructure</t>
        </is>
      </c>
      <c r="G34" s="11" t="n">
        <v>37.89</v>
      </c>
    </row>
    <row r="35">
      <c r="A35" s="6" t="inlineStr">
        <is>
          <t>2021-08</t>
        </is>
      </c>
      <c r="B35" s="10" t="n">
        <v>2922212.8</v>
      </c>
      <c r="C35" s="13" t="n">
        <v>1791.66</v>
      </c>
      <c r="D35" s="12" t="n">
        <v>0.1792</v>
      </c>
      <c r="E35" s="14" t="n">
        <v>55.03</v>
      </c>
      <c r="F35" s="6" t="inlineStr">
        <is>
          <t>Infrastructure</t>
        </is>
      </c>
      <c r="G35" s="11" t="n">
        <v>38.04</v>
      </c>
    </row>
    <row r="36">
      <c r="A36" s="6" t="inlineStr">
        <is>
          <t>2021-09</t>
        </is>
      </c>
      <c r="B36" s="10" t="n">
        <v>2939098.81</v>
      </c>
      <c r="C36" s="13" t="n">
        <v>1785.82</v>
      </c>
      <c r="D36" s="12" t="n">
        <v>0.1786</v>
      </c>
      <c r="E36" s="14" t="n">
        <v>54.79</v>
      </c>
      <c r="F36" s="6" t="inlineStr">
        <is>
          <t>Infrastructure</t>
        </is>
      </c>
      <c r="G36" s="11" t="n">
        <v>37.99</v>
      </c>
    </row>
    <row r="37">
      <c r="A37" s="6" t="inlineStr">
        <is>
          <t>2021-10</t>
        </is>
      </c>
      <c r="B37" s="10" t="n">
        <v>2954305.91</v>
      </c>
      <c r="C37" s="13" t="n">
        <v>1819.51</v>
      </c>
      <c r="D37" s="12" t="n">
        <v>0.182</v>
      </c>
      <c r="E37" s="14" t="n">
        <v>55.06</v>
      </c>
      <c r="F37" s="6" t="inlineStr">
        <is>
          <t>Infrastructure</t>
        </is>
      </c>
      <c r="G37" s="11" t="n">
        <v>38.52</v>
      </c>
    </row>
    <row r="38">
      <c r="A38" s="6" t="inlineStr">
        <is>
          <t>2021-11</t>
        </is>
      </c>
      <c r="B38" s="10" t="n">
        <v>2977969.88</v>
      </c>
      <c r="C38" s="13" t="n">
        <v>1807.44</v>
      </c>
      <c r="D38" s="12" t="n">
        <v>0.1807</v>
      </c>
      <c r="E38" s="14" t="n">
        <v>54.95</v>
      </c>
      <c r="F38" s="6" t="inlineStr">
        <is>
          <t>Infrastructure</t>
        </is>
      </c>
      <c r="G38" s="11" t="n">
        <v>38.35</v>
      </c>
    </row>
    <row r="39">
      <c r="A39" s="6" t="inlineStr">
        <is>
          <t>2021-12</t>
        </is>
      </c>
      <c r="B39" s="10" t="n">
        <v>3087299.7</v>
      </c>
      <c r="C39" s="13" t="n">
        <v>1761.5</v>
      </c>
      <c r="D39" s="12" t="n">
        <v>0.1762</v>
      </c>
      <c r="E39" s="14" t="n">
        <v>54.39</v>
      </c>
      <c r="F39" s="6" t="inlineStr">
        <is>
          <t>Infrastructure</t>
        </is>
      </c>
      <c r="G39" s="11" t="n">
        <v>37.63</v>
      </c>
    </row>
    <row r="40">
      <c r="A40" s="6" t="inlineStr">
        <is>
          <t>2022-01</t>
        </is>
      </c>
      <c r="B40" s="10" t="n">
        <v>3049445.91</v>
      </c>
      <c r="C40" s="13" t="n">
        <v>1820.45</v>
      </c>
      <c r="D40" s="12" t="n">
        <v>0.182</v>
      </c>
      <c r="E40" s="14" t="n">
        <v>54.9</v>
      </c>
      <c r="F40" s="6" t="inlineStr">
        <is>
          <t>Infrastructure</t>
        </is>
      </c>
      <c r="G40" s="11" t="n">
        <v>38.54</v>
      </c>
    </row>
    <row r="41">
      <c r="A41" s="6" t="inlineStr">
        <is>
          <t>2022-02</t>
        </is>
      </c>
      <c r="B41" s="10" t="n">
        <v>3102630.16</v>
      </c>
      <c r="C41" s="13" t="n">
        <v>1807.98</v>
      </c>
      <c r="D41" s="12" t="n">
        <v>0.1808</v>
      </c>
      <c r="E41" s="14" t="n">
        <v>54.84</v>
      </c>
      <c r="F41" s="6" t="inlineStr">
        <is>
          <t>Infrastructure</t>
        </is>
      </c>
      <c r="G41" s="11" t="n">
        <v>38.36</v>
      </c>
    </row>
    <row r="42">
      <c r="A42" s="6" t="inlineStr">
        <is>
          <t>2022-03</t>
        </is>
      </c>
      <c r="B42" s="10" t="n">
        <v>3181100.12</v>
      </c>
      <c r="C42" s="13" t="n">
        <v>1791.87</v>
      </c>
      <c r="D42" s="12" t="n">
        <v>0.1792</v>
      </c>
      <c r="E42" s="14" t="n">
        <v>54.55</v>
      </c>
      <c r="F42" s="6" t="inlineStr">
        <is>
          <t>Infrastructure</t>
        </is>
      </c>
      <c r="G42" s="11" t="n">
        <v>38.12</v>
      </c>
    </row>
    <row r="43">
      <c r="A43" s="6" t="inlineStr">
        <is>
          <t>2022-04</t>
        </is>
      </c>
      <c r="B43" s="10" t="n">
        <v>3174821.16</v>
      </c>
      <c r="C43" s="13" t="n">
        <v>1812.08</v>
      </c>
      <c r="D43" s="12" t="n">
        <v>0.1812</v>
      </c>
      <c r="E43" s="14" t="n">
        <v>54.64</v>
      </c>
      <c r="F43" s="6" t="inlineStr">
        <is>
          <t>Infrastructure</t>
        </is>
      </c>
      <c r="G43" s="11" t="n">
        <v>38.41</v>
      </c>
    </row>
    <row r="44">
      <c r="A44" s="6" t="inlineStr">
        <is>
          <t>2022-05</t>
        </is>
      </c>
      <c r="B44" s="10" t="n">
        <v>3192957.81</v>
      </c>
      <c r="C44" s="13" t="n">
        <v>1805.8</v>
      </c>
      <c r="D44" s="12" t="n">
        <v>0.1806</v>
      </c>
      <c r="E44" s="14" t="n">
        <v>54.78</v>
      </c>
      <c r="F44" s="6" t="inlineStr">
        <is>
          <t>Infrastructure</t>
        </is>
      </c>
      <c r="G44" s="11" t="n">
        <v>38.27</v>
      </c>
    </row>
    <row r="45">
      <c r="A45" s="6" t="inlineStr">
        <is>
          <t>2022-06</t>
        </is>
      </c>
      <c r="B45" s="10" t="n">
        <v>3209099.56</v>
      </c>
      <c r="C45" s="13" t="n">
        <v>1812.45</v>
      </c>
      <c r="D45" s="12" t="n">
        <v>0.1812</v>
      </c>
      <c r="E45" s="14" t="n">
        <v>54.86</v>
      </c>
      <c r="F45" s="6" t="inlineStr">
        <is>
          <t>Infrastructure</t>
        </is>
      </c>
      <c r="G45" s="11" t="n">
        <v>38.39</v>
      </c>
    </row>
    <row r="46">
      <c r="A46" s="6" t="inlineStr">
        <is>
          <t>2022-07</t>
        </is>
      </c>
      <c r="B46" s="10" t="n">
        <v>3214589.85</v>
      </c>
      <c r="C46" s="13" t="n">
        <v>1813.84</v>
      </c>
      <c r="D46" s="12" t="n">
        <v>0.1814</v>
      </c>
      <c r="E46" s="14" t="n">
        <v>54.82</v>
      </c>
      <c r="F46" s="6" t="inlineStr">
        <is>
          <t>Infrastructure</t>
        </is>
      </c>
      <c r="G46" s="11" t="n">
        <v>38.44</v>
      </c>
    </row>
    <row r="47">
      <c r="A47" s="6" t="inlineStr">
        <is>
          <t>2022-08</t>
        </is>
      </c>
      <c r="B47" s="10" t="n">
        <v>3232613.77</v>
      </c>
      <c r="C47" s="13" t="n">
        <v>1796.7</v>
      </c>
      <c r="D47" s="12" t="n">
        <v>0.1797</v>
      </c>
      <c r="E47" s="14" t="n">
        <v>54.5</v>
      </c>
      <c r="F47" s="6" t="inlineStr">
        <is>
          <t>Infrastructure</t>
        </is>
      </c>
      <c r="G47" s="11" t="n">
        <v>38.22</v>
      </c>
    </row>
    <row r="48">
      <c r="A48" s="6" t="inlineStr">
        <is>
          <t>2022-09</t>
        </is>
      </c>
      <c r="B48" s="10" t="n">
        <v>3276479.33</v>
      </c>
      <c r="C48" s="13" t="n">
        <v>1763.79</v>
      </c>
      <c r="D48" s="12" t="n">
        <v>0.1764</v>
      </c>
      <c r="E48" s="14" t="n">
        <v>53.97</v>
      </c>
      <c r="F48" s="6" t="inlineStr">
        <is>
          <t>Infrastructure</t>
        </is>
      </c>
      <c r="G48" s="11" t="n">
        <v>37.73</v>
      </c>
    </row>
    <row r="49">
      <c r="A49" s="6" t="inlineStr">
        <is>
          <t>2022-10</t>
        </is>
      </c>
      <c r="B49" s="10" t="n">
        <v>3320589.43</v>
      </c>
      <c r="C49" s="13" t="n">
        <v>1784.27</v>
      </c>
      <c r="D49" s="12" t="n">
        <v>0.1784</v>
      </c>
      <c r="E49" s="14" t="n">
        <v>54.3</v>
      </c>
      <c r="F49" s="6" t="inlineStr">
        <is>
          <t>Infrastructure</t>
        </is>
      </c>
      <c r="G49" s="11" t="n">
        <v>38.05</v>
      </c>
    </row>
    <row r="50">
      <c r="A50" s="6" t="inlineStr">
        <is>
          <t>2022-11</t>
        </is>
      </c>
      <c r="B50" s="10" t="n">
        <v>3328193</v>
      </c>
      <c r="C50" s="13" t="n">
        <v>1781.54</v>
      </c>
      <c r="D50" s="12" t="n">
        <v>0.1782</v>
      </c>
      <c r="E50" s="14" t="n">
        <v>54.89</v>
      </c>
      <c r="F50" s="6" t="inlineStr">
        <is>
          <t>Infrastructure</t>
        </is>
      </c>
      <c r="G50" s="11" t="n">
        <v>37.95</v>
      </c>
    </row>
    <row r="51">
      <c r="A51" s="6" t="inlineStr">
        <is>
          <t>2022-12</t>
        </is>
      </c>
      <c r="B51" s="10" t="n">
        <v>3326820.44</v>
      </c>
      <c r="C51" s="13" t="n">
        <v>1716.9</v>
      </c>
      <c r="D51" s="12" t="n">
        <v>0.1717</v>
      </c>
      <c r="E51" s="14" t="n">
        <v>53.66</v>
      </c>
      <c r="F51" s="6" t="inlineStr">
        <is>
          <t>Infrastructure</t>
        </is>
      </c>
      <c r="G51" s="11" t="n">
        <v>36.98</v>
      </c>
    </row>
    <row r="52">
      <c r="A52" s="6" t="inlineStr">
        <is>
          <t>2023-01</t>
        </is>
      </c>
      <c r="B52" s="10" t="n">
        <v>3321663.1</v>
      </c>
      <c r="C52" s="13" t="n">
        <v>1697.41</v>
      </c>
      <c r="D52" s="12" t="n">
        <v>0.1697</v>
      </c>
      <c r="E52" s="14" t="n">
        <v>53.64</v>
      </c>
      <c r="F52" s="6" t="inlineStr">
        <is>
          <t>Infrastructure</t>
        </is>
      </c>
      <c r="G52" s="11" t="n">
        <v>36.61</v>
      </c>
    </row>
    <row r="53">
      <c r="A53" s="6" t="inlineStr">
        <is>
          <t>2023-02</t>
        </is>
      </c>
      <c r="B53" s="10" t="n">
        <v>3321562.67</v>
      </c>
      <c r="C53" s="13" t="n">
        <v>1683.71</v>
      </c>
      <c r="D53" s="12" t="n">
        <v>0.1684</v>
      </c>
      <c r="E53" s="14" t="n">
        <v>53.31</v>
      </c>
      <c r="F53" s="6" t="inlineStr">
        <is>
          <t>Infrastructure</t>
        </is>
      </c>
      <c r="G53" s="11" t="n">
        <v>36.43</v>
      </c>
    </row>
    <row r="54">
      <c r="A54" s="6" t="inlineStr">
        <is>
          <t>2023-03</t>
        </is>
      </c>
      <c r="B54" s="10" t="n">
        <v>3366405.85</v>
      </c>
      <c r="C54" s="13" t="n">
        <v>1677.43</v>
      </c>
      <c r="D54" s="12" t="n">
        <v>0.1677</v>
      </c>
      <c r="E54" s="14" t="n">
        <v>53.35</v>
      </c>
      <c r="F54" s="6" t="inlineStr">
        <is>
          <t>Infrastructure</t>
        </is>
      </c>
      <c r="G54" s="11" t="n">
        <v>36.33</v>
      </c>
    </row>
    <row r="55">
      <c r="A55" s="6" t="inlineStr">
        <is>
          <t>2023-04</t>
        </is>
      </c>
      <c r="B55" s="10" t="n">
        <v>3404575.31</v>
      </c>
      <c r="C55" s="13" t="n">
        <v>1720.7</v>
      </c>
      <c r="D55" s="12" t="n">
        <v>0.1721</v>
      </c>
      <c r="E55" s="14" t="n">
        <v>53.95</v>
      </c>
      <c r="F55" s="6" t="inlineStr">
        <is>
          <t>Infrastructure</t>
        </is>
      </c>
      <c r="G55" s="11" t="n">
        <v>37.04</v>
      </c>
    </row>
    <row r="56">
      <c r="A56" s="6" t="inlineStr">
        <is>
          <t>2023-05</t>
        </is>
      </c>
      <c r="B56" s="10" t="n">
        <v>3386087.66</v>
      </c>
      <c r="C56" s="13" t="n">
        <v>1713.3</v>
      </c>
      <c r="D56" s="12" t="n">
        <v>0.1713</v>
      </c>
      <c r="E56" s="14" t="n">
        <v>53.84</v>
      </c>
      <c r="F56" s="6" t="inlineStr">
        <is>
          <t>Infrastructure</t>
        </is>
      </c>
      <c r="G56" s="11" t="n">
        <v>36.84</v>
      </c>
    </row>
    <row r="57">
      <c r="A57" s="6" t="inlineStr">
        <is>
          <t>2023-06</t>
        </is>
      </c>
      <c r="B57" s="10" t="n">
        <v>3447826.41</v>
      </c>
      <c r="C57" s="13" t="n">
        <v>1688.2</v>
      </c>
      <c r="D57" s="12" t="n">
        <v>0.1688</v>
      </c>
      <c r="E57" s="14" t="n">
        <v>53.71</v>
      </c>
      <c r="F57" s="6" t="inlineStr">
        <is>
          <t>Infrastructure</t>
        </is>
      </c>
      <c r="G57" s="11" t="n">
        <v>36.39</v>
      </c>
    </row>
    <row r="58">
      <c r="A58" s="6" t="inlineStr">
        <is>
          <t>2023-07</t>
        </is>
      </c>
      <c r="B58" s="10" t="n">
        <v>3380957.39</v>
      </c>
      <c r="C58" s="13" t="n">
        <v>1731.51</v>
      </c>
      <c r="D58" s="12" t="n">
        <v>0.1732</v>
      </c>
      <c r="E58" s="14" t="n">
        <v>54.53</v>
      </c>
      <c r="F58" s="6" t="inlineStr">
        <is>
          <t>Infrastructure</t>
        </is>
      </c>
      <c r="G58" s="11" t="n">
        <v>37.06</v>
      </c>
    </row>
    <row r="59">
      <c r="A59" s="6" t="inlineStr">
        <is>
          <t>2023-08</t>
        </is>
      </c>
      <c r="B59" s="10" t="n">
        <v>3423735.61</v>
      </c>
      <c r="C59" s="13" t="n">
        <v>1711.47</v>
      </c>
      <c r="D59" s="12" t="n">
        <v>0.1711</v>
      </c>
      <c r="E59" s="14" t="n">
        <v>54.23</v>
      </c>
      <c r="F59" s="6" t="inlineStr">
        <is>
          <t>Infrastructure</t>
        </is>
      </c>
      <c r="G59" s="11" t="n">
        <v>36.8</v>
      </c>
    </row>
    <row r="60">
      <c r="A60" s="6" t="inlineStr">
        <is>
          <t>2023-09</t>
        </is>
      </c>
      <c r="B60" s="10" t="n">
        <v>3489700.37</v>
      </c>
      <c r="C60" s="13" t="n">
        <v>1691.65</v>
      </c>
      <c r="D60" s="12" t="n">
        <v>0.1692</v>
      </c>
      <c r="E60" s="14" t="n">
        <v>53.96</v>
      </c>
      <c r="F60" s="6" t="inlineStr">
        <is>
          <t>Infrastructure</t>
        </is>
      </c>
      <c r="G60" s="11" t="n">
        <v>36.48</v>
      </c>
    </row>
    <row r="61">
      <c r="A61" s="6" t="inlineStr">
        <is>
          <t>2023-10</t>
        </is>
      </c>
      <c r="B61" s="10" t="n">
        <v>3525507.31</v>
      </c>
      <c r="C61" s="13" t="n">
        <v>1714.58</v>
      </c>
      <c r="D61" s="12" t="n">
        <v>0.1715</v>
      </c>
      <c r="E61" s="14" t="n">
        <v>54.14</v>
      </c>
      <c r="F61" s="6" t="inlineStr">
        <is>
          <t>Infrastructure</t>
        </is>
      </c>
      <c r="G61" s="11" t="n">
        <v>36.85</v>
      </c>
    </row>
    <row r="62">
      <c r="A62" s="6" t="inlineStr">
        <is>
          <t>2023-11</t>
        </is>
      </c>
      <c r="B62" s="10" t="n">
        <v>3557468.59</v>
      </c>
      <c r="C62" s="13" t="n">
        <v>1721.28</v>
      </c>
      <c r="D62" s="12" t="n">
        <v>0.1721</v>
      </c>
      <c r="E62" s="14" t="n">
        <v>54.27</v>
      </c>
      <c r="F62" s="6" t="inlineStr">
        <is>
          <t>Infrastructure</t>
        </is>
      </c>
      <c r="G62" s="11" t="n">
        <v>36.95</v>
      </c>
    </row>
    <row r="63">
      <c r="A63" s="6" t="inlineStr">
        <is>
          <t>2023-12</t>
        </is>
      </c>
      <c r="B63" s="10" t="n">
        <v>3622549.69</v>
      </c>
      <c r="C63" s="13" t="n">
        <v>1699.95</v>
      </c>
      <c r="D63" s="12" t="n">
        <v>0.17</v>
      </c>
      <c r="E63" s="14" t="n">
        <v>54.03</v>
      </c>
      <c r="F63" s="6" t="inlineStr">
        <is>
          <t>Infrastructure</t>
        </is>
      </c>
      <c r="G63" s="11" t="n">
        <v>36.56</v>
      </c>
    </row>
    <row r="64">
      <c r="A64" s="6" t="inlineStr">
        <is>
          <t>2024-01</t>
        </is>
      </c>
      <c r="B64" s="10" t="n">
        <v>3614409.36</v>
      </c>
      <c r="C64" s="13" t="n">
        <v>1682.42</v>
      </c>
      <c r="D64" s="12" t="n">
        <v>0.1682</v>
      </c>
      <c r="E64" s="14" t="n">
        <v>53.79</v>
      </c>
      <c r="F64" s="6" t="inlineStr">
        <is>
          <t>Infrastructure</t>
        </is>
      </c>
      <c r="G64" s="11" t="n">
        <v>36.26</v>
      </c>
    </row>
    <row r="65">
      <c r="A65" s="6" t="inlineStr">
        <is>
          <t>2024-02</t>
        </is>
      </c>
      <c r="B65" s="10" t="n">
        <v>3645197.23</v>
      </c>
      <c r="C65" s="13" t="n">
        <v>1669.26</v>
      </c>
      <c r="D65" s="12" t="n">
        <v>0.1669</v>
      </c>
      <c r="E65" s="14" t="n">
        <v>53.55</v>
      </c>
      <c r="F65" s="6" t="inlineStr">
        <is>
          <t>Infrastructure</t>
        </is>
      </c>
      <c r="G65" s="11" t="n">
        <v>36.07</v>
      </c>
    </row>
    <row r="66">
      <c r="A66" s="6" t="inlineStr">
        <is>
          <t>2024-03</t>
        </is>
      </c>
      <c r="B66" s="10" t="n">
        <v>3682392.52</v>
      </c>
      <c r="C66" s="13" t="n">
        <v>1667.2</v>
      </c>
      <c r="D66" s="12" t="n">
        <v>0.1667</v>
      </c>
      <c r="E66" s="14" t="n">
        <v>53.43</v>
      </c>
      <c r="F66" s="6" t="inlineStr">
        <is>
          <t>Infrastructure</t>
        </is>
      </c>
      <c r="G66" s="11" t="n">
        <v>36.03</v>
      </c>
    </row>
    <row r="67">
      <c r="A67" s="6" t="inlineStr">
        <is>
          <t>2024-04</t>
        </is>
      </c>
      <c r="B67" s="10" t="n">
        <v>3686690.04</v>
      </c>
      <c r="C67" s="13" t="n">
        <v>1699.04</v>
      </c>
      <c r="D67" s="12" t="n">
        <v>0.1699</v>
      </c>
      <c r="E67" s="14" t="n">
        <v>53.8</v>
      </c>
      <c r="F67" s="6" t="inlineStr">
        <is>
          <t>Infrastructure</t>
        </is>
      </c>
      <c r="G67" s="11" t="n">
        <v>36.56</v>
      </c>
    </row>
    <row r="68">
      <c r="A68" s="6" t="inlineStr">
        <is>
          <t>2024-05</t>
        </is>
      </c>
      <c r="B68" s="10" t="n">
        <v>3736970.25</v>
      </c>
      <c r="C68" s="13" t="n">
        <v>1698.27</v>
      </c>
      <c r="D68" s="12" t="n">
        <v>0.1698</v>
      </c>
      <c r="E68" s="14" t="n">
        <v>53.8</v>
      </c>
      <c r="F68" s="6" t="inlineStr">
        <is>
          <t>Infrastructure</t>
        </is>
      </c>
      <c r="G68" s="11" t="n">
        <v>36.53</v>
      </c>
    </row>
    <row r="69">
      <c r="A69" s="6" t="inlineStr">
        <is>
          <t>2024-06</t>
        </is>
      </c>
      <c r="B69" s="10" t="n">
        <v>3762914</v>
      </c>
      <c r="C69" s="13" t="n">
        <v>1662.76</v>
      </c>
      <c r="D69" s="12" t="n">
        <v>0.1663</v>
      </c>
      <c r="E69" s="14" t="n">
        <v>53.6</v>
      </c>
      <c r="F69" s="6" t="inlineStr">
        <is>
          <t>Infrastructure</t>
        </is>
      </c>
      <c r="G69" s="11" t="n">
        <v>35.93</v>
      </c>
    </row>
    <row r="70">
      <c r="A70" s="6" t="inlineStr">
        <is>
          <t>2024-07</t>
        </is>
      </c>
      <c r="B70" s="10" t="n">
        <v>3757762.35</v>
      </c>
      <c r="C70" s="13" t="n">
        <v>1632.55</v>
      </c>
      <c r="D70" s="12" t="n">
        <v>0.1633</v>
      </c>
      <c r="E70" s="14" t="n">
        <v>53.9</v>
      </c>
      <c r="F70" s="6" t="inlineStr">
        <is>
          <t>Infrastructure</t>
        </is>
      </c>
      <c r="G70" s="11" t="n">
        <v>35.33</v>
      </c>
    </row>
    <row r="71">
      <c r="A71" s="6" t="inlineStr">
        <is>
          <t>2024-08</t>
        </is>
      </c>
      <c r="B71" s="10" t="n">
        <v>3790000.53</v>
      </c>
      <c r="C71" s="13" t="n">
        <v>1620.92</v>
      </c>
      <c r="D71" s="12" t="n">
        <v>0.1621</v>
      </c>
      <c r="E71" s="14" t="n">
        <v>53.25</v>
      </c>
      <c r="F71" s="6" t="inlineStr">
        <is>
          <t>Infrastructure</t>
        </is>
      </c>
      <c r="G71" s="11" t="n">
        <v>35.19</v>
      </c>
    </row>
    <row r="72">
      <c r="A72" s="6" t="inlineStr">
        <is>
          <t>2024-09</t>
        </is>
      </c>
      <c r="B72" s="10" t="n">
        <v>3837176.88</v>
      </c>
      <c r="C72" s="13" t="n">
        <v>1589.84</v>
      </c>
      <c r="D72" s="12" t="n">
        <v>0.159</v>
      </c>
      <c r="E72" s="14" t="n">
        <v>53.21</v>
      </c>
      <c r="F72" s="6" t="inlineStr">
        <is>
          <t>Infrastructure</t>
        </is>
      </c>
      <c r="G72" s="11" t="n">
        <v>34.63</v>
      </c>
    </row>
    <row r="73">
      <c r="A73" s="6" t="inlineStr">
        <is>
          <t>2024-10</t>
        </is>
      </c>
      <c r="B73" s="10" t="n">
        <v>3812249.89</v>
      </c>
      <c r="C73" s="13" t="n">
        <v>1605.6</v>
      </c>
      <c r="D73" s="12" t="n">
        <v>0.1606</v>
      </c>
      <c r="E73" s="14" t="n">
        <v>53.52</v>
      </c>
      <c r="F73" s="6" t="inlineStr">
        <is>
          <t>Infrastructure</t>
        </is>
      </c>
      <c r="G73" s="11" t="n">
        <v>34.87</v>
      </c>
    </row>
    <row r="74">
      <c r="A74" s="6" t="inlineStr">
        <is>
          <t>2024-11</t>
        </is>
      </c>
      <c r="B74" s="10" t="n">
        <v>3851151.56</v>
      </c>
      <c r="C74" s="13" t="n">
        <v>1609.11</v>
      </c>
      <c r="D74" s="12" t="n">
        <v>0.1609</v>
      </c>
      <c r="E74" s="14" t="n">
        <v>53.65</v>
      </c>
      <c r="F74" s="6" t="inlineStr">
        <is>
          <t>Infrastructure</t>
        </is>
      </c>
      <c r="G74" s="11" t="n">
        <v>34.9</v>
      </c>
    </row>
    <row r="75">
      <c r="A75" s="6" t="inlineStr">
        <is>
          <t>2024-12</t>
        </is>
      </c>
      <c r="B75" s="10" t="n">
        <v>3893504.01</v>
      </c>
      <c r="C75" s="13" t="n">
        <v>1591.23</v>
      </c>
      <c r="D75" s="12" t="n">
        <v>0.1591</v>
      </c>
      <c r="E75" s="14" t="n">
        <v>53.49</v>
      </c>
      <c r="F75" s="6" t="inlineStr">
        <is>
          <t>Infrastructure</t>
        </is>
      </c>
      <c r="G75" s="11" t="n">
        <v>34.57</v>
      </c>
    </row>
    <row r="76">
      <c r="A76" s="6" t="inlineStr">
        <is>
          <t>2025-01</t>
        </is>
      </c>
      <c r="B76" s="10" t="n">
        <v>3913968.89</v>
      </c>
      <c r="C76" s="13" t="n">
        <v>1571.47</v>
      </c>
      <c r="D76" s="12" t="n">
        <v>0.1571</v>
      </c>
      <c r="E76" s="14" t="n">
        <v>52.96</v>
      </c>
      <c r="F76" s="6" t="inlineStr">
        <is>
          <t>Infrastructure</t>
        </is>
      </c>
      <c r="G76" s="11" t="n">
        <v>34.26</v>
      </c>
    </row>
    <row r="77">
      <c r="A77" s="6" t="inlineStr">
        <is>
          <t>2025-02</t>
        </is>
      </c>
      <c r="B77" s="10" t="n">
        <v>3916782.68</v>
      </c>
      <c r="C77" s="13" t="n">
        <v>1563.58</v>
      </c>
      <c r="D77" s="12" t="n">
        <v>0.1564</v>
      </c>
      <c r="E77" s="14" t="n">
        <v>52.66</v>
      </c>
      <c r="F77" s="6" t="inlineStr">
        <is>
          <t>Infrastructure</t>
        </is>
      </c>
      <c r="G77" s="11" t="n">
        <v>34.15</v>
      </c>
    </row>
    <row r="78">
      <c r="A78" s="6" t="inlineStr">
        <is>
          <t>2025-03</t>
        </is>
      </c>
      <c r="B78" s="10" t="n">
        <v>3985659.55</v>
      </c>
      <c r="C78" s="13" t="n">
        <v>1566.29</v>
      </c>
      <c r="D78" s="12" t="n">
        <v>0.1566</v>
      </c>
      <c r="E78" s="14" t="n">
        <v>52.66</v>
      </c>
      <c r="F78" s="6" t="inlineStr">
        <is>
          <t>Infrastructure</t>
        </is>
      </c>
      <c r="G78" s="11" t="n">
        <v>34.23</v>
      </c>
    </row>
    <row r="79">
      <c r="A79" s="6" t="inlineStr">
        <is>
          <t>2025-04</t>
        </is>
      </c>
      <c r="B79" s="10" t="n">
        <v>3943926.9</v>
      </c>
      <c r="C79" s="13" t="n">
        <v>1571.34</v>
      </c>
      <c r="D79" s="12" t="n">
        <v>0.1571</v>
      </c>
      <c r="E79" s="14" t="n">
        <v>52.58</v>
      </c>
      <c r="F79" s="6" t="inlineStr">
        <is>
          <t>Infrastructure</t>
        </is>
      </c>
      <c r="G79" s="11" t="n">
        <v>34.29</v>
      </c>
    </row>
    <row r="80">
      <c r="A80" s="6" t="inlineStr">
        <is>
          <t>2025-05</t>
        </is>
      </c>
      <c r="B80" s="10" t="n">
        <v>3933611.94</v>
      </c>
      <c r="C80" s="13" t="n">
        <v>1569.6</v>
      </c>
      <c r="D80" s="12" t="n">
        <v>0.157</v>
      </c>
      <c r="E80" s="14" t="n">
        <v>52.59</v>
      </c>
      <c r="F80" s="6" t="inlineStr">
        <is>
          <t>Infrastructure</t>
        </is>
      </c>
      <c r="G80" s="11" t="n">
        <v>34.27</v>
      </c>
    </row>
    <row r="81">
      <c r="A81" s="6" t="inlineStr">
        <is>
          <t>2025-06</t>
        </is>
      </c>
      <c r="B81" s="10" t="n">
        <v>4001401.41</v>
      </c>
      <c r="C81" s="13" t="n">
        <v>1558.11</v>
      </c>
      <c r="D81" s="12" t="n">
        <v>0.1558</v>
      </c>
      <c r="E81" s="14" t="n">
        <v>52.35</v>
      </c>
      <c r="F81" s="6" t="inlineStr">
        <is>
          <t>Infrastructure</t>
        </is>
      </c>
      <c r="G81" s="11" t="n">
        <v>34.07</v>
      </c>
    </row>
    <row r="82">
      <c r="A82" s="6" t="inlineStr">
        <is>
          <t>2025-07</t>
        </is>
      </c>
      <c r="B82" s="10" t="n">
        <v>4002277.04</v>
      </c>
      <c r="C82" s="13" t="n">
        <v>1570.32</v>
      </c>
      <c r="D82" s="12" t="n">
        <v>0.157</v>
      </c>
      <c r="E82" s="14" t="n">
        <v>52.66</v>
      </c>
      <c r="F82" s="6" t="inlineStr">
        <is>
          <t>Infrastructure</t>
        </is>
      </c>
      <c r="G82" s="11" t="n">
        <v>34.29</v>
      </c>
    </row>
    <row r="83">
      <c r="A83" s="6" t="inlineStr">
        <is>
          <t>2025-08</t>
        </is>
      </c>
      <c r="B83" s="10" t="n">
        <v>4055963</v>
      </c>
      <c r="C83" s="13" t="n">
        <v>1554.51</v>
      </c>
      <c r="D83" s="12" t="n">
        <v>0.1555</v>
      </c>
      <c r="E83" s="14" t="n">
        <v>52.4</v>
      </c>
      <c r="F83" s="6" t="inlineStr">
        <is>
          <t>Infrastructure</t>
        </is>
      </c>
      <c r="G83" s="11" t="n">
        <v>34.03</v>
      </c>
    </row>
    <row r="84">
      <c r="A84" s="6" t="inlineStr">
        <is>
          <t>2025-09</t>
        </is>
      </c>
      <c r="B84" s="10" t="n">
        <v>4136176</v>
      </c>
      <c r="C84" s="13" t="n">
        <v>1537.62</v>
      </c>
      <c r="D84" s="12" t="n">
        <v>0.1538</v>
      </c>
      <c r="E84" s="14" t="n">
        <v>52.08</v>
      </c>
      <c r="F84" s="6" t="inlineStr">
        <is>
          <t>Infrastructure</t>
        </is>
      </c>
      <c r="G84" s="11" t="n">
        <v>33.74</v>
      </c>
    </row>
    <row r="85">
      <c r="A85" s="6" t="inlineStr">
        <is>
          <t>2025-10</t>
        </is>
      </c>
      <c r="B85" s="10" t="n">
        <v>4192699</v>
      </c>
      <c r="C85" s="13" t="n">
        <v>1513.42</v>
      </c>
      <c r="D85" s="12" t="n">
        <v>0.1513</v>
      </c>
      <c r="E85" s="14" t="n">
        <v>52.38</v>
      </c>
      <c r="F85" s="6" t="inlineStr">
        <is>
          <t>Infrastructure</t>
        </is>
      </c>
      <c r="G85" s="11" t="n">
        <v>33.18</v>
      </c>
    </row>
    <row r="86">
      <c r="A86" s="6" t="inlineStr">
        <is>
          <t>2025-11</t>
        </is>
      </c>
      <c r="B86" s="10" t="n">
        <v>4219434</v>
      </c>
      <c r="C86" s="13" t="n">
        <v>1515.68</v>
      </c>
      <c r="D86" s="12" t="n">
        <v>0.1516</v>
      </c>
      <c r="E86" s="14" t="n">
        <v>52.47</v>
      </c>
      <c r="F86" s="6" t="inlineStr">
        <is>
          <t>Infrastructure</t>
        </is>
      </c>
      <c r="G86" s="11" t="n">
        <v>33.23</v>
      </c>
    </row>
    <row r="87">
      <c r="A87" s="6" t="inlineStr">
        <is>
          <t>2025-12</t>
        </is>
      </c>
      <c r="B87" s="10" t="n">
        <v>4390875</v>
      </c>
      <c r="C87" s="13" t="n">
        <v>1492.36</v>
      </c>
      <c r="D87" s="12" t="n">
        <v>0.1492</v>
      </c>
      <c r="E87" s="14" t="n">
        <v>51.5</v>
      </c>
      <c r="F87" s="6" t="inlineStr">
        <is>
          <t>Infrastructure</t>
        </is>
      </c>
      <c r="G87" s="11" t="n">
        <v>32.87</v>
      </c>
    </row>
    <row r="88">
      <c r="A88" s="6" t="inlineStr">
        <is>
          <t>2026-01</t>
        </is>
      </c>
      <c r="B88" s="10" t="n">
        <v>4388307</v>
      </c>
      <c r="C88" s="13" t="n">
        <v>1474.22</v>
      </c>
      <c r="D88" s="12" t="n">
        <v>0.1474</v>
      </c>
      <c r="E88" s="14" t="n">
        <v>51.25</v>
      </c>
      <c r="F88" s="6" t="inlineStr">
        <is>
          <t>Infrastructure</t>
        </is>
      </c>
      <c r="G88" s="11" t="n">
        <v>32.51</v>
      </c>
    </row>
    <row r="89">
      <c r="A89" s="6" t="inlineStr">
        <is>
          <t>2026-02</t>
        </is>
      </c>
      <c r="B89" s="10" t="n">
        <v>4447192</v>
      </c>
      <c r="C89" s="13" t="n">
        <v>1471.17</v>
      </c>
      <c r="D89" s="12" t="n">
        <v>0.1471</v>
      </c>
      <c r="E89" s="14" t="n">
        <v>51.16</v>
      </c>
      <c r="F89" s="6" t="inlineStr">
        <is>
          <t>Infrastructure</t>
        </is>
      </c>
      <c r="G89" s="11" t="n">
        <v>32.46</v>
      </c>
    </row>
    <row r="90">
      <c r="A90" s="6" t="inlineStr">
        <is>
          <t>2026-03</t>
        </is>
      </c>
      <c r="B90" s="10" t="n">
        <v>4584304.35</v>
      </c>
      <c r="C90" s="13" t="n">
        <v>1474.45</v>
      </c>
      <c r="D90" s="12" t="n">
        <v>0.1474</v>
      </c>
      <c r="E90" s="14" t="n">
        <v>51.51</v>
      </c>
      <c r="F90" s="6" t="inlineStr">
        <is>
          <t>Infrastructure</t>
        </is>
      </c>
      <c r="G90" s="11" t="n">
        <v>32.5</v>
      </c>
    </row>
    <row r="91">
      <c r="A91" s="6" t="inlineStr">
        <is>
          <t>2026-04</t>
        </is>
      </c>
      <c r="B91" s="10" t="n">
        <v>4537731</v>
      </c>
      <c r="C91" s="13" t="n">
        <v>1491.98</v>
      </c>
      <c r="D91" s="12" t="n">
        <v>0.1492</v>
      </c>
      <c r="E91" s="14" t="n">
        <v>51.63</v>
      </c>
      <c r="F91" s="6" t="inlineStr">
        <is>
          <t>Infrastructure</t>
        </is>
      </c>
      <c r="G91" s="11" t="n">
        <v>32.81</v>
      </c>
    </row>
    <row r="92">
      <c r="A92" s="6" t="inlineStr">
        <is>
          <t>2026-05</t>
        </is>
      </c>
      <c r="B92" s="10" t="n">
        <v>4623904</v>
      </c>
      <c r="C92" s="13" t="n">
        <v>1476.92</v>
      </c>
      <c r="D92" s="12" t="n">
        <v>0.1477</v>
      </c>
      <c r="E92" s="14" t="n">
        <v>51.42</v>
      </c>
      <c r="F92" s="6" t="inlineStr">
        <is>
          <t>Infrastructure</t>
        </is>
      </c>
      <c r="G92" s="11" t="n">
        <v>32.54</v>
      </c>
    </row>
    <row r="93">
      <c r="A93" s="6" t="inlineStr">
        <is>
          <t>2026-06</t>
        </is>
      </c>
      <c r="B93" s="10" t="n">
        <v>4771512.84</v>
      </c>
      <c r="C93" s="13" t="n">
        <v>1431.3</v>
      </c>
      <c r="D93" s="12" t="n">
        <v>0.1431</v>
      </c>
      <c r="E93" s="14" t="n">
        <v>50.72</v>
      </c>
      <c r="F93" s="6" t="inlineStr">
        <is>
          <t>Infrastructure</t>
        </is>
      </c>
      <c r="G93" s="11" t="n">
        <v>31.68</v>
      </c>
    </row>
  </sheetData>
  <mergeCells count="1"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2026-10-14T11:00:53Z</dcterms:created>
  <dcterms:modified xsi:type="dcterms:W3CDTF">2026-10-14T11:00:53Z</dcterms:modified>
</cp:coreProperties>
</file>